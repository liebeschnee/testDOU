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C:\Users\WendyWei\Downloads\"/>
    </mc:Choice>
  </mc:AlternateContent>
  <xr:revisionPtr revIDLastSave="0" documentId="13_ncr:1_{322E8D8C-2696-4A9B-9211-0D23D55E9C4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ummary" sheetId="4" r:id="rId1"/>
    <sheet name="Precondition" sheetId="3" r:id="rId2"/>
    <sheet name="Scenario(Phone)" sheetId="9" r:id="rId3"/>
    <sheet name="History" sheetId="5" r:id="rId4"/>
  </sheets>
  <definedNames>
    <definedName name="_xlnm._FilterDatabase" localSheetId="2" hidden="1">'Scenario(Phone)'!$B$8:$J$132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4" l="1"/>
  <c r="E143" i="9"/>
  <c r="R128" i="9"/>
  <c r="S128" i="9"/>
  <c r="O128" i="9"/>
  <c r="P128" i="9"/>
  <c r="L128" i="9"/>
  <c r="M128" i="9"/>
  <c r="R127" i="9"/>
  <c r="S127" i="9"/>
  <c r="O127" i="9"/>
  <c r="P127" i="9"/>
  <c r="L127" i="9"/>
  <c r="M127" i="9"/>
  <c r="R126" i="9"/>
  <c r="S126" i="9"/>
  <c r="O126" i="9"/>
  <c r="P126" i="9"/>
  <c r="L126" i="9"/>
  <c r="M126" i="9"/>
  <c r="R125" i="9"/>
  <c r="S125" i="9"/>
  <c r="O125" i="9"/>
  <c r="P125" i="9"/>
  <c r="L125" i="9"/>
  <c r="M125" i="9"/>
  <c r="R124" i="9"/>
  <c r="S124" i="9"/>
  <c r="O124" i="9"/>
  <c r="P124" i="9"/>
  <c r="L124" i="9"/>
  <c r="M124" i="9"/>
  <c r="R123" i="9"/>
  <c r="S123" i="9"/>
  <c r="O123" i="9"/>
  <c r="P123" i="9"/>
  <c r="L123" i="9"/>
  <c r="M123" i="9"/>
  <c r="R122" i="9"/>
  <c r="S122" i="9"/>
  <c r="O122" i="9"/>
  <c r="P122" i="9"/>
  <c r="L122" i="9"/>
  <c r="M122" i="9"/>
  <c r="R121" i="9"/>
  <c r="S121" i="9"/>
  <c r="O121" i="9"/>
  <c r="P121" i="9"/>
  <c r="L121" i="9"/>
  <c r="M121" i="9"/>
  <c r="R120" i="9"/>
  <c r="S120" i="9"/>
  <c r="O120" i="9"/>
  <c r="P120" i="9"/>
  <c r="L120" i="9"/>
  <c r="M120" i="9"/>
  <c r="R119" i="9"/>
  <c r="S119" i="9"/>
  <c r="O119" i="9"/>
  <c r="P119" i="9"/>
  <c r="L119" i="9"/>
  <c r="M119" i="9"/>
  <c r="R118" i="9"/>
  <c r="S118" i="9"/>
  <c r="O118" i="9"/>
  <c r="P118" i="9"/>
  <c r="L118" i="9"/>
  <c r="M118" i="9"/>
  <c r="R117" i="9"/>
  <c r="S117" i="9"/>
  <c r="O117" i="9"/>
  <c r="P117" i="9"/>
  <c r="L117" i="9"/>
  <c r="M117" i="9"/>
  <c r="R116" i="9"/>
  <c r="S116" i="9"/>
  <c r="O116" i="9"/>
  <c r="P116" i="9"/>
  <c r="L116" i="9"/>
  <c r="M116" i="9"/>
  <c r="R115" i="9"/>
  <c r="S115" i="9"/>
  <c r="O115" i="9"/>
  <c r="P115" i="9"/>
  <c r="L115" i="9"/>
  <c r="M115" i="9"/>
  <c r="R114" i="9"/>
  <c r="S114" i="9"/>
  <c r="O114" i="9"/>
  <c r="P114" i="9"/>
  <c r="L114" i="9"/>
  <c r="M114" i="9"/>
  <c r="R113" i="9"/>
  <c r="S113" i="9"/>
  <c r="O113" i="9"/>
  <c r="P113" i="9"/>
  <c r="L113" i="9"/>
  <c r="M113" i="9"/>
  <c r="R112" i="9"/>
  <c r="S112" i="9"/>
  <c r="O112" i="9"/>
  <c r="P112" i="9"/>
  <c r="L112" i="9"/>
  <c r="M112" i="9"/>
  <c r="R111" i="9"/>
  <c r="S111" i="9"/>
  <c r="O111" i="9"/>
  <c r="P111" i="9"/>
  <c r="L111" i="9"/>
  <c r="M111" i="9"/>
  <c r="R110" i="9"/>
  <c r="S110" i="9"/>
  <c r="O110" i="9"/>
  <c r="P110" i="9"/>
  <c r="L110" i="9"/>
  <c r="M110" i="9"/>
  <c r="R109" i="9"/>
  <c r="S109" i="9"/>
  <c r="O109" i="9"/>
  <c r="P109" i="9"/>
  <c r="L109" i="9"/>
  <c r="M109" i="9"/>
  <c r="R108" i="9"/>
  <c r="S108" i="9"/>
  <c r="O108" i="9"/>
  <c r="P108" i="9"/>
  <c r="L108" i="9"/>
  <c r="M108" i="9"/>
  <c r="R107" i="9"/>
  <c r="S107" i="9"/>
  <c r="O107" i="9"/>
  <c r="P107" i="9"/>
  <c r="L107" i="9"/>
  <c r="M107" i="9"/>
  <c r="R106" i="9"/>
  <c r="S106" i="9"/>
  <c r="O106" i="9"/>
  <c r="P106" i="9"/>
  <c r="L106" i="9"/>
  <c r="M106" i="9"/>
  <c r="R104" i="9"/>
  <c r="S104" i="9"/>
  <c r="O104" i="9"/>
  <c r="P104" i="9"/>
  <c r="L104" i="9"/>
  <c r="M104" i="9"/>
  <c r="R103" i="9"/>
  <c r="S103" i="9"/>
  <c r="O103" i="9"/>
  <c r="P103" i="9"/>
  <c r="L103" i="9"/>
  <c r="M103" i="9"/>
  <c r="R102" i="9"/>
  <c r="S102" i="9"/>
  <c r="O102" i="9"/>
  <c r="P102" i="9"/>
  <c r="L102" i="9"/>
  <c r="M102" i="9"/>
  <c r="R101" i="9"/>
  <c r="S101" i="9"/>
  <c r="O101" i="9"/>
  <c r="P101" i="9"/>
  <c r="L101" i="9"/>
  <c r="M101" i="9"/>
  <c r="R100" i="9"/>
  <c r="S100" i="9"/>
  <c r="O100" i="9"/>
  <c r="P100" i="9"/>
  <c r="L100" i="9"/>
  <c r="M100" i="9"/>
  <c r="R99" i="9"/>
  <c r="S99" i="9"/>
  <c r="O99" i="9"/>
  <c r="P99" i="9"/>
  <c r="L99" i="9"/>
  <c r="M99" i="9"/>
  <c r="R98" i="9"/>
  <c r="S98" i="9"/>
  <c r="O98" i="9"/>
  <c r="P98" i="9"/>
  <c r="L98" i="9"/>
  <c r="M98" i="9"/>
  <c r="R97" i="9"/>
  <c r="S97" i="9"/>
  <c r="O97" i="9"/>
  <c r="P97" i="9"/>
  <c r="L97" i="9"/>
  <c r="M97" i="9"/>
  <c r="R96" i="9"/>
  <c r="S96" i="9"/>
  <c r="O96" i="9"/>
  <c r="P96" i="9"/>
  <c r="L96" i="9"/>
  <c r="M96" i="9"/>
  <c r="R95" i="9"/>
  <c r="S95" i="9"/>
  <c r="O95" i="9"/>
  <c r="P95" i="9"/>
  <c r="L95" i="9"/>
  <c r="M95" i="9"/>
  <c r="R94" i="9"/>
  <c r="S94" i="9"/>
  <c r="O94" i="9"/>
  <c r="P94" i="9"/>
  <c r="L94" i="9"/>
  <c r="M94" i="9"/>
  <c r="R93" i="9"/>
  <c r="S93" i="9"/>
  <c r="O93" i="9"/>
  <c r="P93" i="9"/>
  <c r="L93" i="9"/>
  <c r="M93" i="9"/>
  <c r="R92" i="9"/>
  <c r="S92" i="9"/>
  <c r="O92" i="9"/>
  <c r="P92" i="9"/>
  <c r="L92" i="9"/>
  <c r="M92" i="9"/>
  <c r="R91" i="9"/>
  <c r="S91" i="9"/>
  <c r="O91" i="9"/>
  <c r="P91" i="9"/>
  <c r="L91" i="9"/>
  <c r="M91" i="9"/>
  <c r="R90" i="9"/>
  <c r="S90" i="9"/>
  <c r="O90" i="9"/>
  <c r="P90" i="9"/>
  <c r="L90" i="9"/>
  <c r="M90" i="9"/>
  <c r="R89" i="9"/>
  <c r="S89" i="9"/>
  <c r="O89" i="9"/>
  <c r="P89" i="9"/>
  <c r="L89" i="9"/>
  <c r="M89" i="9"/>
  <c r="R88" i="9"/>
  <c r="S88" i="9"/>
  <c r="O88" i="9"/>
  <c r="P88" i="9"/>
  <c r="L88" i="9"/>
  <c r="M88" i="9"/>
  <c r="R87" i="9"/>
  <c r="S87" i="9"/>
  <c r="O87" i="9"/>
  <c r="P87" i="9"/>
  <c r="L87" i="9"/>
  <c r="M87" i="9"/>
  <c r="R86" i="9"/>
  <c r="S86" i="9"/>
  <c r="O86" i="9"/>
  <c r="P86" i="9"/>
  <c r="L86" i="9"/>
  <c r="M86" i="9"/>
  <c r="R85" i="9"/>
  <c r="S85" i="9"/>
  <c r="O85" i="9"/>
  <c r="P85" i="9"/>
  <c r="L85" i="9"/>
  <c r="M85" i="9"/>
  <c r="R84" i="9"/>
  <c r="S84" i="9"/>
  <c r="O84" i="9"/>
  <c r="P84" i="9"/>
  <c r="L84" i="9"/>
  <c r="M84" i="9"/>
  <c r="R83" i="9"/>
  <c r="S83" i="9"/>
  <c r="O83" i="9"/>
  <c r="P83" i="9"/>
  <c r="L83" i="9"/>
  <c r="M83" i="9"/>
  <c r="R82" i="9"/>
  <c r="S82" i="9"/>
  <c r="O82" i="9"/>
  <c r="P82" i="9"/>
  <c r="L82" i="9"/>
  <c r="M82" i="9"/>
  <c r="R80" i="9"/>
  <c r="S80" i="9"/>
  <c r="O80" i="9"/>
  <c r="P80" i="9"/>
  <c r="L80" i="9"/>
  <c r="M80" i="9"/>
  <c r="R79" i="9"/>
  <c r="S79" i="9"/>
  <c r="O79" i="9"/>
  <c r="P79" i="9"/>
  <c r="L79" i="9"/>
  <c r="M79" i="9"/>
  <c r="R78" i="9"/>
  <c r="S78" i="9"/>
  <c r="O78" i="9"/>
  <c r="P78" i="9"/>
  <c r="L78" i="9"/>
  <c r="M78" i="9"/>
  <c r="R77" i="9"/>
  <c r="S77" i="9"/>
  <c r="O77" i="9"/>
  <c r="P77" i="9"/>
  <c r="L77" i="9"/>
  <c r="M77" i="9"/>
  <c r="R76" i="9"/>
  <c r="S76" i="9"/>
  <c r="O76" i="9"/>
  <c r="P76" i="9"/>
  <c r="L76" i="9"/>
  <c r="M76" i="9"/>
  <c r="R75" i="9"/>
  <c r="S75" i="9"/>
  <c r="O75" i="9"/>
  <c r="P75" i="9"/>
  <c r="L75" i="9"/>
  <c r="M75" i="9"/>
  <c r="R74" i="9"/>
  <c r="S74" i="9"/>
  <c r="O74" i="9"/>
  <c r="P74" i="9"/>
  <c r="L74" i="9"/>
  <c r="M74" i="9"/>
  <c r="R73" i="9"/>
  <c r="S73" i="9"/>
  <c r="O73" i="9"/>
  <c r="P73" i="9"/>
  <c r="L73" i="9"/>
  <c r="M73" i="9"/>
  <c r="R72" i="9"/>
  <c r="S72" i="9"/>
  <c r="O72" i="9"/>
  <c r="P72" i="9"/>
  <c r="L72" i="9"/>
  <c r="M72" i="9"/>
  <c r="R71" i="9"/>
  <c r="S71" i="9"/>
  <c r="O71" i="9"/>
  <c r="P71" i="9"/>
  <c r="L71" i="9"/>
  <c r="M71" i="9"/>
  <c r="R70" i="9"/>
  <c r="S70" i="9"/>
  <c r="O70" i="9"/>
  <c r="P70" i="9"/>
  <c r="L70" i="9"/>
  <c r="M70" i="9"/>
  <c r="R69" i="9"/>
  <c r="S69" i="9"/>
  <c r="O69" i="9"/>
  <c r="P69" i="9"/>
  <c r="L69" i="9"/>
  <c r="M69" i="9"/>
  <c r="R68" i="9"/>
  <c r="S68" i="9"/>
  <c r="O68" i="9"/>
  <c r="P68" i="9"/>
  <c r="L68" i="9"/>
  <c r="M68" i="9"/>
  <c r="R67" i="9"/>
  <c r="S67" i="9"/>
  <c r="O67" i="9"/>
  <c r="P67" i="9"/>
  <c r="L67" i="9"/>
  <c r="M67" i="9"/>
  <c r="R66" i="9"/>
  <c r="S66" i="9"/>
  <c r="O66" i="9"/>
  <c r="P66" i="9"/>
  <c r="L66" i="9"/>
  <c r="M66" i="9"/>
  <c r="R65" i="9"/>
  <c r="S65" i="9"/>
  <c r="O65" i="9"/>
  <c r="P65" i="9"/>
  <c r="L65" i="9"/>
  <c r="M65" i="9"/>
  <c r="R64" i="9"/>
  <c r="S64" i="9"/>
  <c r="O64" i="9"/>
  <c r="P64" i="9"/>
  <c r="L64" i="9"/>
  <c r="M64" i="9"/>
  <c r="R63" i="9"/>
  <c r="S63" i="9"/>
  <c r="O63" i="9"/>
  <c r="P63" i="9"/>
  <c r="L63" i="9"/>
  <c r="M63" i="9"/>
  <c r="R62" i="9"/>
  <c r="S62" i="9"/>
  <c r="O62" i="9"/>
  <c r="P62" i="9"/>
  <c r="L62" i="9"/>
  <c r="M62" i="9"/>
  <c r="R61" i="9"/>
  <c r="S61" i="9"/>
  <c r="O61" i="9"/>
  <c r="P61" i="9"/>
  <c r="L61" i="9"/>
  <c r="M61" i="9"/>
  <c r="R60" i="9"/>
  <c r="S60" i="9"/>
  <c r="O60" i="9"/>
  <c r="P60" i="9"/>
  <c r="L60" i="9"/>
  <c r="M60" i="9"/>
  <c r="R59" i="9"/>
  <c r="S59" i="9"/>
  <c r="O59" i="9"/>
  <c r="P59" i="9"/>
  <c r="L59" i="9"/>
  <c r="M59" i="9"/>
  <c r="R58" i="9"/>
  <c r="S58" i="9"/>
  <c r="O58" i="9"/>
  <c r="P58" i="9"/>
  <c r="L58" i="9"/>
  <c r="M58" i="9"/>
  <c r="R56" i="9"/>
  <c r="S56" i="9"/>
  <c r="O56" i="9"/>
  <c r="P56" i="9"/>
  <c r="L56" i="9"/>
  <c r="M56" i="9"/>
  <c r="R55" i="9"/>
  <c r="S55" i="9"/>
  <c r="O55" i="9"/>
  <c r="P55" i="9"/>
  <c r="L55" i="9"/>
  <c r="M55" i="9"/>
  <c r="R54" i="9"/>
  <c r="S54" i="9"/>
  <c r="O54" i="9"/>
  <c r="P54" i="9"/>
  <c r="L54" i="9"/>
  <c r="M54" i="9"/>
  <c r="R53" i="9"/>
  <c r="S53" i="9"/>
  <c r="O53" i="9"/>
  <c r="P53" i="9"/>
  <c r="L53" i="9"/>
  <c r="M53" i="9"/>
  <c r="R52" i="9"/>
  <c r="S52" i="9"/>
  <c r="O52" i="9"/>
  <c r="P52" i="9"/>
  <c r="L52" i="9"/>
  <c r="M52" i="9"/>
  <c r="R51" i="9"/>
  <c r="S51" i="9"/>
  <c r="O51" i="9"/>
  <c r="P51" i="9"/>
  <c r="L51" i="9"/>
  <c r="M51" i="9"/>
  <c r="R50" i="9"/>
  <c r="S50" i="9"/>
  <c r="O50" i="9"/>
  <c r="P50" i="9"/>
  <c r="L50" i="9"/>
  <c r="M50" i="9"/>
  <c r="R49" i="9"/>
  <c r="S49" i="9"/>
  <c r="O49" i="9"/>
  <c r="P49" i="9"/>
  <c r="L49" i="9"/>
  <c r="M49" i="9"/>
  <c r="R48" i="9"/>
  <c r="S48" i="9"/>
  <c r="O48" i="9"/>
  <c r="P48" i="9"/>
  <c r="L48" i="9"/>
  <c r="M48" i="9"/>
  <c r="R47" i="9"/>
  <c r="S47" i="9"/>
  <c r="O47" i="9"/>
  <c r="P47" i="9"/>
  <c r="L47" i="9"/>
  <c r="M47" i="9"/>
  <c r="R46" i="9"/>
  <c r="S46" i="9"/>
  <c r="O46" i="9"/>
  <c r="P46" i="9"/>
  <c r="L46" i="9"/>
  <c r="M46" i="9"/>
  <c r="R45" i="9"/>
  <c r="S45" i="9"/>
  <c r="O45" i="9"/>
  <c r="P45" i="9"/>
  <c r="L45" i="9"/>
  <c r="M45" i="9"/>
  <c r="R44" i="9"/>
  <c r="S44" i="9"/>
  <c r="O44" i="9"/>
  <c r="P44" i="9"/>
  <c r="L44" i="9"/>
  <c r="M44" i="9"/>
  <c r="R43" i="9"/>
  <c r="S43" i="9"/>
  <c r="O43" i="9"/>
  <c r="P43" i="9"/>
  <c r="L43" i="9"/>
  <c r="M43" i="9"/>
  <c r="R42" i="9"/>
  <c r="S42" i="9"/>
  <c r="O42" i="9"/>
  <c r="P42" i="9"/>
  <c r="L42" i="9"/>
  <c r="M42" i="9"/>
  <c r="R41" i="9"/>
  <c r="S41" i="9"/>
  <c r="O41" i="9"/>
  <c r="P41" i="9"/>
  <c r="L41" i="9"/>
  <c r="M41" i="9"/>
  <c r="R40" i="9"/>
  <c r="S40" i="9"/>
  <c r="O40" i="9"/>
  <c r="P40" i="9"/>
  <c r="L40" i="9"/>
  <c r="M40" i="9"/>
  <c r="R39" i="9"/>
  <c r="S39" i="9"/>
  <c r="O39" i="9"/>
  <c r="P39" i="9"/>
  <c r="L39" i="9"/>
  <c r="M39" i="9"/>
  <c r="R38" i="9"/>
  <c r="S38" i="9"/>
  <c r="O38" i="9"/>
  <c r="P38" i="9"/>
  <c r="L38" i="9"/>
  <c r="M38" i="9"/>
  <c r="R37" i="9"/>
  <c r="S37" i="9"/>
  <c r="O37" i="9"/>
  <c r="P37" i="9"/>
  <c r="L37" i="9"/>
  <c r="M37" i="9"/>
  <c r="R36" i="9"/>
  <c r="S36" i="9"/>
  <c r="O36" i="9"/>
  <c r="P36" i="9"/>
  <c r="L36" i="9"/>
  <c r="M36" i="9"/>
  <c r="R35" i="9"/>
  <c r="S35" i="9"/>
  <c r="O35" i="9"/>
  <c r="P35" i="9"/>
  <c r="L35" i="9"/>
  <c r="M35" i="9"/>
  <c r="R34" i="9"/>
  <c r="S34" i="9"/>
  <c r="O34" i="9"/>
  <c r="P34" i="9"/>
  <c r="L34" i="9"/>
  <c r="M34" i="9"/>
  <c r="R32" i="9"/>
  <c r="S32" i="9"/>
  <c r="O32" i="9"/>
  <c r="P32" i="9"/>
  <c r="L32" i="9"/>
  <c r="M32" i="9"/>
  <c r="R31" i="9"/>
  <c r="S31" i="9"/>
  <c r="O31" i="9"/>
  <c r="P31" i="9"/>
  <c r="L31" i="9"/>
  <c r="M31" i="9"/>
  <c r="R30" i="9"/>
  <c r="S30" i="9"/>
  <c r="O30" i="9"/>
  <c r="P30" i="9"/>
  <c r="L30" i="9"/>
  <c r="M30" i="9"/>
  <c r="R29" i="9"/>
  <c r="S29" i="9"/>
  <c r="O29" i="9"/>
  <c r="P29" i="9"/>
  <c r="L29" i="9"/>
  <c r="M29" i="9"/>
  <c r="R28" i="9"/>
  <c r="S28" i="9"/>
  <c r="O28" i="9"/>
  <c r="P28" i="9"/>
  <c r="L28" i="9"/>
  <c r="M28" i="9"/>
  <c r="R27" i="9"/>
  <c r="S27" i="9"/>
  <c r="O27" i="9"/>
  <c r="P27" i="9"/>
  <c r="L27" i="9"/>
  <c r="M27" i="9"/>
  <c r="R26" i="9"/>
  <c r="S26" i="9"/>
  <c r="O26" i="9"/>
  <c r="P26" i="9"/>
  <c r="L26" i="9"/>
  <c r="M26" i="9"/>
  <c r="R25" i="9"/>
  <c r="S25" i="9"/>
  <c r="O25" i="9"/>
  <c r="P25" i="9"/>
  <c r="L25" i="9"/>
  <c r="M25" i="9"/>
  <c r="R24" i="9"/>
  <c r="S24" i="9"/>
  <c r="O24" i="9"/>
  <c r="P24" i="9"/>
  <c r="L24" i="9"/>
  <c r="M24" i="9"/>
  <c r="R23" i="9"/>
  <c r="S23" i="9"/>
  <c r="O23" i="9"/>
  <c r="P23" i="9"/>
  <c r="L23" i="9"/>
  <c r="M23" i="9"/>
  <c r="R22" i="9"/>
  <c r="S22" i="9"/>
  <c r="O22" i="9"/>
  <c r="P22" i="9"/>
  <c r="L22" i="9"/>
  <c r="M22" i="9"/>
  <c r="R21" i="9"/>
  <c r="S21" i="9"/>
  <c r="O21" i="9"/>
  <c r="P21" i="9"/>
  <c r="L21" i="9"/>
  <c r="M21" i="9"/>
  <c r="R20" i="9"/>
  <c r="S20" i="9"/>
  <c r="O20" i="9"/>
  <c r="P20" i="9"/>
  <c r="L20" i="9"/>
  <c r="M20" i="9"/>
  <c r="R19" i="9"/>
  <c r="S19" i="9"/>
  <c r="O19" i="9"/>
  <c r="P19" i="9"/>
  <c r="L19" i="9"/>
  <c r="M19" i="9"/>
  <c r="R18" i="9"/>
  <c r="S18" i="9"/>
  <c r="O18" i="9"/>
  <c r="P18" i="9"/>
  <c r="L18" i="9"/>
  <c r="M18" i="9"/>
  <c r="R17" i="9"/>
  <c r="S17" i="9"/>
  <c r="O17" i="9"/>
  <c r="P17" i="9"/>
  <c r="L17" i="9"/>
  <c r="M17" i="9"/>
  <c r="R16" i="9"/>
  <c r="S16" i="9"/>
  <c r="O16" i="9"/>
  <c r="P16" i="9"/>
  <c r="L16" i="9"/>
  <c r="M16" i="9"/>
  <c r="R15" i="9"/>
  <c r="S15" i="9"/>
  <c r="O15" i="9"/>
  <c r="P15" i="9"/>
  <c r="L15" i="9"/>
  <c r="M15" i="9"/>
  <c r="R14" i="9"/>
  <c r="S14" i="9"/>
  <c r="O14" i="9"/>
  <c r="P14" i="9"/>
  <c r="L14" i="9"/>
  <c r="M14" i="9"/>
  <c r="R13" i="9"/>
  <c r="S13" i="9"/>
  <c r="O13" i="9"/>
  <c r="P13" i="9"/>
  <c r="L13" i="9"/>
  <c r="M13" i="9"/>
  <c r="R12" i="9"/>
  <c r="S12" i="9"/>
  <c r="O12" i="9"/>
  <c r="P12" i="9"/>
  <c r="L12" i="9"/>
  <c r="M12" i="9"/>
  <c r="R11" i="9"/>
  <c r="S11" i="9"/>
  <c r="O11" i="9"/>
  <c r="P11" i="9"/>
  <c r="L11" i="9"/>
  <c r="M11" i="9"/>
  <c r="R10" i="9"/>
  <c r="S10" i="9"/>
  <c r="O10" i="9"/>
  <c r="P10" i="9"/>
  <c r="L10" i="9"/>
  <c r="M10" i="9"/>
  <c r="R8" i="9"/>
  <c r="O8" i="9"/>
  <c r="L8" i="9"/>
  <c r="Q6" i="9"/>
  <c r="R6" i="9"/>
  <c r="S6" i="9"/>
  <c r="N6" i="9"/>
  <c r="O6" i="9"/>
  <c r="P6" i="9"/>
  <c r="K6" i="9"/>
  <c r="L6" i="9"/>
  <c r="M6" i="9"/>
  <c r="Q4" i="9"/>
  <c r="R4" i="9"/>
  <c r="S4" i="9"/>
  <c r="N4" i="9"/>
  <c r="O4" i="9"/>
  <c r="P4" i="9"/>
  <c r="K4" i="9"/>
  <c r="L4" i="9"/>
  <c r="M4" i="9"/>
  <c r="Q2" i="9"/>
  <c r="N2" i="9"/>
  <c r="K2" i="9"/>
  <c r="B12" i="4"/>
  <c r="B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n023279</author>
  </authors>
  <commentList>
    <comment ref="I71" authorId="0" shapeId="0" xr:uid="{00000000-0006-0000-0200-000001000000}">
      <text>
        <r>
          <rPr>
            <sz val="9"/>
            <rFont val="宋体"/>
            <family val="3"/>
            <charset val="134"/>
          </rPr>
          <t>16：20</t>
        </r>
      </text>
    </comment>
    <comment ref="G85" authorId="0" shapeId="0" xr:uid="{00000000-0006-0000-0200-000002000000}">
      <text>
        <r>
          <rPr>
            <sz val="9"/>
            <rFont val="宋体"/>
            <family val="3"/>
            <charset val="134"/>
          </rPr>
          <t>11：03</t>
        </r>
      </text>
    </comment>
    <comment ref="H94" authorId="0" shapeId="0" xr:uid="{00000000-0006-0000-0200-000003000000}">
      <text>
        <r>
          <rPr>
            <sz val="9"/>
            <rFont val="宋体"/>
            <family val="3"/>
            <charset val="134"/>
          </rPr>
          <t>15：45</t>
        </r>
      </text>
    </comment>
  </commentList>
</comments>
</file>

<file path=xl/sharedStrings.xml><?xml version="1.0" encoding="utf-8"?>
<sst xmlns="http://schemas.openxmlformats.org/spreadsheetml/2006/main" count="371" uniqueCount="148">
  <si>
    <t>Day of Use Test Report(Phone)</t>
  </si>
  <si>
    <t>Project</t>
  </si>
  <si>
    <t>SW Version</t>
  </si>
  <si>
    <t>HW Version</t>
  </si>
  <si>
    <t>Date</t>
  </si>
  <si>
    <t>Test Report</t>
  </si>
  <si>
    <t>Test Result</t>
  </si>
  <si>
    <t>Device</t>
  </si>
  <si>
    <t>Battery capacity</t>
  </si>
  <si>
    <t>Actual Battery Life</t>
  </si>
  <si>
    <t>Evaluated Battery Life</t>
  </si>
  <si>
    <t>Average Current</t>
  </si>
  <si>
    <t>RANK</t>
  </si>
  <si>
    <t>Standby Current</t>
  </si>
  <si>
    <t>QA Comments</t>
  </si>
  <si>
    <r>
      <t>Test Result: 
Issue list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Calibri"/>
        <family val="2"/>
      </rPr>
      <t xml:space="preserve">
Buglist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Calibri"/>
        <family val="2"/>
      </rPr>
      <t xml:space="preserve">
Comment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3"/>
        <charset val="134"/>
      </rPr>
      <t>第一晚连接</t>
    </r>
    <r>
      <rPr>
        <sz val="11"/>
        <color theme="1"/>
        <rFont val="Calibri"/>
        <family val="2"/>
      </rPr>
      <t>vpn wifi</t>
    </r>
    <r>
      <rPr>
        <sz val="11"/>
        <color theme="1"/>
        <rFont val="宋体"/>
        <family val="3"/>
        <charset val="134"/>
      </rPr>
      <t>待机耗电如下：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宋体"/>
        <family val="3"/>
        <charset val="134"/>
      </rPr>
      <t>第二晚连接</t>
    </r>
    <r>
      <rPr>
        <sz val="11"/>
        <color theme="1"/>
        <rFont val="Calibri"/>
        <family val="2"/>
      </rPr>
      <t>vpn wifi</t>
    </r>
    <r>
      <rPr>
        <sz val="11"/>
        <color theme="1"/>
        <rFont val="宋体"/>
        <family val="3"/>
        <charset val="134"/>
      </rPr>
      <t>待机耗电如下：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3"/>
        <charset val="134"/>
      </rPr>
      <t>第三晚连接</t>
    </r>
    <r>
      <rPr>
        <sz val="11"/>
        <color theme="1"/>
        <rFont val="Calibri"/>
        <family val="2"/>
      </rPr>
      <t>vpn wifi</t>
    </r>
    <r>
      <rPr>
        <sz val="11"/>
        <color theme="1"/>
        <rFont val="宋体"/>
        <family val="3"/>
        <charset val="134"/>
      </rPr>
      <t>待机耗电如下：</t>
    </r>
    <r>
      <rPr>
        <sz val="11"/>
        <color theme="1"/>
        <rFont val="Calibri"/>
        <family val="2"/>
      </rPr>
      <t xml:space="preserve">
</t>
    </r>
  </si>
  <si>
    <t>Precondition before execution</t>
  </si>
  <si>
    <t>Test insert 1 SIM. The test devices and reference need ot use same operator.</t>
  </si>
  <si>
    <t>OOBE done, signed into Google account, basic setup done.</t>
  </si>
  <si>
    <t>Setup fingerprint if support.</t>
  </si>
  <si>
    <t>Set up Screen timeout 2 minutes.</t>
  </si>
  <si>
    <t>Needed accounts (Google, Facebook, WhatsApp, Spotify) &amp; apps (Tiktok, Subway surfers, Google News  &amp; Weather, Skype, ScratchJr, Facebook, WhatsApp, FB Messenger, XE Currency, Booking.com, Hill Climb Racing, Spotify) installed.</t>
  </si>
  <si>
    <t>Update all app from playstore to latest version.</t>
  </si>
  <si>
    <r>
      <rPr>
        <sz val="11"/>
        <color theme="1"/>
        <rFont val="Calibri"/>
        <family val="2"/>
      </rPr>
      <t xml:space="preserve">4G sim with good (defined later) connection. Wi-fi connection (good) established, </t>
    </r>
    <r>
      <rPr>
        <sz val="11"/>
        <color rgb="FF0070C0"/>
        <rFont val="Calibri"/>
        <family val="2"/>
      </rPr>
      <t>Wi-fi turned off in the beginning of the test, open WIFI for the items remark with "Use WIFI", for WIFI only tablet, all test use WIFI,</t>
    </r>
    <r>
      <rPr>
        <sz val="11"/>
        <color theme="1"/>
        <rFont val="Calibri"/>
        <family val="2"/>
      </rPr>
      <t xml:space="preserve"> NFC &amp; Bluetooth turned off.</t>
    </r>
  </si>
  <si>
    <t xml:space="preserve">All apps have been started once and initial access rights have been enabled (such as location access request from Google news &amp; Weather). </t>
  </si>
  <si>
    <t>Headphones connected, volume level 50%. (Insert Headphones only during Youtube, Hill Climb Racing and Spotify test.)</t>
  </si>
  <si>
    <t>Display brightness automatic, test location in a well-lit room.</t>
  </si>
  <si>
    <t>Battery saving function switched off (Battery Saver -&gt; Turn on automatically -&gt; never).</t>
  </si>
  <si>
    <t>Device Re-started and clear all app which execute at background.</t>
  </si>
  <si>
    <t>Install battery mix and execute at background</t>
  </si>
  <si>
    <t>New battery, connected to the charger and 100% battery before starting the test.</t>
  </si>
  <si>
    <t>Video streaming (step 10) with Wi-Fi, other use cases with LTE</t>
  </si>
  <si>
    <t>Enable default alog during DOU test.</t>
  </si>
  <si>
    <r>
      <rPr>
        <sz val="11"/>
        <color theme="1"/>
        <rFont val="Calibri"/>
        <family val="2"/>
      </rPr>
      <t xml:space="preserve">The test needs to be executed until </t>
    </r>
    <r>
      <rPr>
        <sz val="11"/>
        <rFont val="Calibri"/>
        <family val="2"/>
      </rPr>
      <t>all</t>
    </r>
    <r>
      <rPr>
        <sz val="11"/>
        <color theme="1"/>
        <rFont val="Calibri"/>
        <family val="2"/>
      </rPr>
      <t xml:space="preserve"> devices have no electricity</t>
    </r>
  </si>
  <si>
    <t>Standby mode(Close inform when display off, return back to home page, display off)</t>
  </si>
  <si>
    <t>For 10hrs standbyBattery capacity is less than 4000mAh, not over 5%, Battery capacity is less than 5000mAh, not over 4%, Battery capacity is same or larger than 5000mAh, 3%</t>
  </si>
  <si>
    <t>Phone</t>
  </si>
  <si>
    <t>XXX _AOSP</t>
  </si>
  <si>
    <t>Reference device</t>
  </si>
  <si>
    <t>Profile</t>
  </si>
  <si>
    <t>Working time(hrs)</t>
  </si>
  <si>
    <t>Working total Battery level</t>
  </si>
  <si>
    <t>Total Working time(hrs)</t>
  </si>
  <si>
    <r>
      <rPr>
        <b/>
        <sz val="11"/>
        <rFont val="Calibri"/>
        <family val="2"/>
      </rPr>
      <t>Memory</t>
    </r>
    <r>
      <rPr>
        <b/>
        <sz val="11"/>
        <color rgb="FFFF0000"/>
        <rFont val="Calibri"/>
        <family val="2"/>
      </rPr>
      <t>(RAM)</t>
    </r>
  </si>
  <si>
    <t>Battery capacity (mAh)</t>
  </si>
  <si>
    <t>Standby time</t>
  </si>
  <si>
    <t>Standby total Battery level</t>
  </si>
  <si>
    <t>Total standby time(hrs)</t>
  </si>
  <si>
    <t>Initial Value of Battery</t>
  </si>
  <si>
    <t>Step#</t>
  </si>
  <si>
    <t>Use case</t>
  </si>
  <si>
    <t>Application</t>
  </si>
  <si>
    <t>Duration</t>
  </si>
  <si>
    <t>Time to start (hh:mm)</t>
  </si>
  <si>
    <t>Battery level end of step(%)</t>
  </si>
  <si>
    <t>Comments</t>
  </si>
  <si>
    <t>Day 1</t>
  </si>
  <si>
    <t xml:space="preserve">Battery consumption (%) </t>
  </si>
  <si>
    <t>AVG current (mAh)</t>
  </si>
  <si>
    <t>Unlock device</t>
  </si>
  <si>
    <t>-</t>
  </si>
  <si>
    <r>
      <rPr>
        <sz val="11"/>
        <rFont val="Calibri"/>
        <family val="2"/>
      </rPr>
      <t>1.Open this app and choose news type-International news from menu
2.To browse news</t>
    </r>
    <r>
      <rPr>
        <sz val="11"/>
        <color rgb="FFFF0000"/>
        <rFont val="Calibri"/>
        <family val="2"/>
      </rPr>
      <t xml:space="preserve"> (for 20 mins)</t>
    </r>
  </si>
  <si>
    <t>Google News &amp; Weather</t>
  </si>
  <si>
    <t>1.Launch camera and capture multiple images (Capture 10 images)
2.Rocording the video (for 1 mins)</t>
  </si>
  <si>
    <t>1.Upload 1 image &amp; 1 video file to social networks 
2.To slide up and down(browse) the facebook (for 35 mins)</t>
  </si>
  <si>
    <t>Facebook</t>
  </si>
  <si>
    <t>1. Read email</t>
  </si>
  <si>
    <t>Gmail</t>
  </si>
  <si>
    <t>come back to homepage, and display off
Suspend 83mins</t>
  </si>
  <si>
    <t>Standby(83)</t>
  </si>
  <si>
    <t>Standby mode</t>
  </si>
  <si>
    <t xml:space="preserve">Make / Receive 6 calls and 6 SMS messages
(1. MO call for 3 min.
2. MT call for 3 min.
3. Repeat Step 1&amp;2 for 3 times
4. Send 1 SMS
5. Receive 1 SMS
6. Repeat Step 4&amp;5 for 3 times)
7. Send 3 E-mail (include text and 1 picture) </t>
  </si>
  <si>
    <t>Phone &amp; Messages</t>
  </si>
  <si>
    <t xml:space="preserve">1. Add Currency-TWD into the list
2. Input 5 different USD price in the USD column (ex. 1000 USD, 600 USD, 500 USD, 100 USD, 50 USD)
</t>
  </si>
  <si>
    <t>XE Currency</t>
  </si>
  <si>
    <t>come back to homepage, and display off
Suspend 105mins</t>
  </si>
  <si>
    <t>Standby(105)</t>
  </si>
  <si>
    <t>1.Send &amp; receive messages (for 10 mins)
2.Wait 5 mins
3.Send &amp; receive messages (for 10 mins)
4.Wait 5 mins</t>
  </si>
  <si>
    <t>WhatsApp</t>
  </si>
  <si>
    <t>To make a voice call (for 10 mins)</t>
  </si>
  <si>
    <t>Facebook messenger</t>
  </si>
  <si>
    <t>come back to homepage, and display off
Suspend 5mins</t>
  </si>
  <si>
    <t>Standby(5)</t>
  </si>
  <si>
    <t xml:space="preserve">1.To search around your current location hotels
2.To browse the detail hotel info &amp; photos at least 5 hotels </t>
  </si>
  <si>
    <t>Booking.com Hotel Deals</t>
  </si>
  <si>
    <r>
      <rPr>
        <sz val="11"/>
        <rFont val="Calibri"/>
        <family val="2"/>
      </rPr>
      <t>Play HD video (for 20 mins)</t>
    </r>
    <r>
      <rPr>
        <sz val="14"/>
        <rFont val="Calibri"/>
        <family val="2"/>
      </rPr>
      <t xml:space="preserve"> </t>
    </r>
    <r>
      <rPr>
        <b/>
        <sz val="14"/>
        <color rgb="FFFF0000"/>
        <rFont val="Calibri"/>
        <family val="2"/>
      </rPr>
      <t>(Use WiFi, after complete this step, please turn off WiFi)</t>
    </r>
  </si>
  <si>
    <t>Youtube</t>
  </si>
  <si>
    <t>Read email</t>
  </si>
  <si>
    <t>come back to homepage, and display off
Suspend 125mins</t>
  </si>
  <si>
    <t>Play game (for 30 mins)</t>
  </si>
  <si>
    <t>Hill Climb Racing</t>
  </si>
  <si>
    <t xml:space="preserve"> Browse webpages from Chrome(for 20 mins) 
 a.Input URL http://tw.yahoo.com from Chrome
 b.Select "Sports" tab to browse webpages
3.Send 3 E-mail (include text and 1 picture) </t>
  </si>
  <si>
    <t>Chrome</t>
  </si>
  <si>
    <t>come back to homepage, and display off
Suspend 25mins</t>
  </si>
  <si>
    <t>Standby(25)</t>
  </si>
  <si>
    <t>1.Play music (for 40 mins)
Open spotify, open daily mix, hit play</t>
  </si>
  <si>
    <t>Spotify</t>
  </si>
  <si>
    <t xml:space="preserve">1. Search location-Gold Gate Bridge
2.Browse the map by moving the view. Find more info of 2 more additional places  by clicking the POI and opening more info ( for 15 mins) </t>
  </si>
  <si>
    <t>Google Map</t>
  </si>
  <si>
    <t>come back to homepage, and display off
Suspend overnight</t>
  </si>
  <si>
    <t>Standby(789)</t>
  </si>
  <si>
    <t>Day 2</t>
  </si>
  <si>
    <r>
      <rPr>
        <sz val="11"/>
        <rFont val="Calibri"/>
        <family val="2"/>
      </rPr>
      <t>1.Launch camera and capture multiple images (Capture 10 images)</t>
    </r>
    <r>
      <rPr>
        <sz val="11"/>
        <rFont val="Calibri"/>
        <family val="2"/>
      </rPr>
      <t xml:space="preserve">
2.Rocording the video (for 1 mins)</t>
    </r>
  </si>
  <si>
    <t>Day 3</t>
  </si>
  <si>
    <t>Day 4</t>
  </si>
  <si>
    <t>Day 5</t>
  </si>
  <si>
    <t>注意!!! 須將所有手機電量耗盡才算完成測試!!!</t>
  </si>
  <si>
    <t>Start time (hours)</t>
  </si>
  <si>
    <t>End time (hours)</t>
  </si>
  <si>
    <t>Total time (hours)</t>
  </si>
  <si>
    <t>Average current (mA)</t>
  </si>
  <si>
    <t>Battery Capacity of DUT</t>
  </si>
  <si>
    <t>Evaluated DoU if battery capacity = DUT</t>
  </si>
  <si>
    <t>由於各手機電池電量不一, 為求公平, maturity score的DoU時間須將依比例換算成與帶測機同電池電量的狀態做計算.</t>
  </si>
  <si>
    <t>Standby Current of 1st day</t>
  </si>
  <si>
    <t>Criteria</t>
  </si>
  <si>
    <t>Result</t>
  </si>
  <si>
    <t>Standby Current of 2nd day</t>
  </si>
  <si>
    <t>Standby Current of 3nd day</t>
  </si>
  <si>
    <r>
      <rPr>
        <sz val="11"/>
        <color theme="5" tint="-0.499984740745262"/>
        <rFont val="宋体"/>
        <family val="3"/>
        <charset val="134"/>
      </rPr>
      <t>标准</t>
    </r>
    <r>
      <rPr>
        <sz val="11"/>
        <color theme="5" tint="-0.499984740745262"/>
        <rFont val="微軟正黑體"/>
        <charset val="134"/>
      </rPr>
      <t>要求</t>
    </r>
    <r>
      <rPr>
        <sz val="11"/>
        <color theme="5" tint="-0.499984740745262"/>
        <rFont val="Calibri"/>
        <family val="2"/>
      </rPr>
      <t xml:space="preserve">, </t>
    </r>
    <r>
      <rPr>
        <sz val="11"/>
        <color theme="5" tint="-0.499984740745262"/>
        <rFont val="微軟正黑體"/>
        <charset val="134"/>
      </rPr>
      <t>待機</t>
    </r>
    <r>
      <rPr>
        <sz val="11"/>
        <color theme="5" tint="-0.499984740745262"/>
        <rFont val="Calibri"/>
        <family val="2"/>
      </rPr>
      <t>10</t>
    </r>
    <r>
      <rPr>
        <sz val="11"/>
        <color theme="5" tint="-0.499984740745262"/>
        <rFont val="微軟正黑體"/>
        <charset val="134"/>
      </rPr>
      <t>小時只能消耗</t>
    </r>
    <r>
      <rPr>
        <sz val="11"/>
        <color theme="5" tint="-0.499984740745262"/>
        <rFont val="宋体"/>
        <family val="3"/>
        <charset val="134"/>
      </rPr>
      <t>(&gt;=5000</t>
    </r>
    <r>
      <rPr>
        <sz val="11"/>
        <color theme="5" tint="-0.499984740745262"/>
        <rFont val="Calibri"/>
        <family val="2"/>
      </rPr>
      <t xml:space="preserve">mAh </t>
    </r>
    <r>
      <rPr>
        <sz val="11"/>
        <color theme="5" tint="-0.499984740745262"/>
        <rFont val="宋体"/>
        <family val="3"/>
        <charset val="134"/>
      </rPr>
      <t>3%,4000</t>
    </r>
    <r>
      <rPr>
        <sz val="11"/>
        <color theme="5" tint="-0.499984740745262"/>
        <rFont val="Calibri"/>
        <family val="2"/>
      </rPr>
      <t>~</t>
    </r>
    <r>
      <rPr>
        <sz val="11"/>
        <color theme="5" tint="-0.499984740745262"/>
        <rFont val="宋体"/>
        <family val="3"/>
        <charset val="134"/>
      </rPr>
      <t>5000</t>
    </r>
    <r>
      <rPr>
        <sz val="11"/>
        <color theme="5" tint="-0.499984740745262"/>
        <rFont val="Calibri"/>
        <family val="2"/>
      </rPr>
      <t xml:space="preserve">mAh </t>
    </r>
    <r>
      <rPr>
        <sz val="11"/>
        <color theme="5" tint="-0.499984740745262"/>
        <rFont val="宋体"/>
        <family val="3"/>
        <charset val="134"/>
      </rPr>
      <t>4%,&lt;4000</t>
    </r>
    <r>
      <rPr>
        <sz val="11"/>
        <color theme="5" tint="-0.499984740745262"/>
        <rFont val="Calibri"/>
        <family val="2"/>
      </rPr>
      <t xml:space="preserve">mAh 5%) </t>
    </r>
    <r>
      <rPr>
        <sz val="11"/>
        <color theme="5" tint="-0.499984740745262"/>
        <rFont val="微軟正黑體"/>
        <charset val="134"/>
      </rPr>
      <t>的電量</t>
    </r>
    <r>
      <rPr>
        <sz val="11"/>
        <color theme="5" tint="-0.499984740745262"/>
        <rFont val="Calibri"/>
        <family val="2"/>
      </rPr>
      <t xml:space="preserve"> (FREQ-8983). </t>
    </r>
    <r>
      <rPr>
        <sz val="11"/>
        <color theme="5" tint="-0.499984740745262"/>
        <rFont val="微軟正黑體"/>
        <charset val="134"/>
      </rPr>
      <t>這裡採用等比例計算</t>
    </r>
    <r>
      <rPr>
        <sz val="11"/>
        <color theme="5" tint="-0.499984740745262"/>
        <rFont val="Calibri"/>
        <family val="2"/>
      </rPr>
      <t>criteria</t>
    </r>
    <r>
      <rPr>
        <sz val="11"/>
        <color theme="5" tint="-0.499984740745262"/>
        <rFont val="微軟正黑體"/>
        <charset val="134"/>
      </rPr>
      <t>的方式做檢視</t>
    </r>
    <r>
      <rPr>
        <sz val="11"/>
        <color theme="5" tint="-0.499984740745262"/>
        <rFont val="Calibri"/>
        <family val="2"/>
      </rPr>
      <t xml:space="preserve">, </t>
    </r>
    <r>
      <rPr>
        <sz val="11"/>
        <color theme="5" tint="-0.499984740745262"/>
        <rFont val="微軟正黑體"/>
        <charset val="134"/>
      </rPr>
      <t>若有</t>
    </r>
    <r>
      <rPr>
        <sz val="11"/>
        <color theme="5" tint="-0.499984740745262"/>
        <rFont val="Calibri"/>
        <family val="2"/>
      </rPr>
      <t>fail</t>
    </r>
    <r>
      <rPr>
        <sz val="11"/>
        <color theme="5" tint="-0.499984740745262"/>
        <rFont val="微軟正黑體"/>
        <charset val="134"/>
      </rPr>
      <t>就必須發</t>
    </r>
    <r>
      <rPr>
        <sz val="11"/>
        <color theme="5" tint="-0.499984740745262"/>
        <rFont val="Calibri"/>
        <family val="2"/>
      </rPr>
      <t>issue</t>
    </r>
    <r>
      <rPr>
        <sz val="11"/>
        <color theme="5" tint="-0.499984740745262"/>
        <rFont val="微軟正黑體"/>
        <charset val="134"/>
      </rPr>
      <t>追蹤</t>
    </r>
  </si>
  <si>
    <t>Revision History</t>
  </si>
  <si>
    <t>Version</t>
  </si>
  <si>
    <t>Editor</t>
  </si>
  <si>
    <t>Action</t>
  </si>
  <si>
    <t>ID</t>
  </si>
  <si>
    <t>Remarks</t>
  </si>
  <si>
    <t>1.0</t>
  </si>
  <si>
    <t>Yvonne Chiang</t>
  </si>
  <si>
    <t>Add</t>
  </si>
  <si>
    <t>Draft</t>
  </si>
  <si>
    <t>1.1</t>
  </si>
  <si>
    <t>Pearl Chen</t>
  </si>
  <si>
    <t>Update</t>
  </si>
  <si>
    <t>Add formula to check standby current (FREQ-8983).</t>
  </si>
  <si>
    <t>1.2</t>
  </si>
  <si>
    <t>DannyPSLi</t>
  </si>
  <si>
    <t>Update comments and modify test order for unify the test method</t>
  </si>
  <si>
    <t>1.3</t>
  </si>
  <si>
    <t>Add formula to caculate estimate battery life for maturity score card</t>
  </si>
  <si>
    <t>1.4</t>
  </si>
  <si>
    <t>Umar Su</t>
  </si>
  <si>
    <t>Add tablet DoU format, update Phone DoU format.</t>
  </si>
  <si>
    <t>1.5</t>
  </si>
  <si>
    <t>Update tablet format</t>
  </si>
  <si>
    <t>According to reqs: Must to perform DoU test for AOSP&amp;HMD version,   test needs to be run on 2 configurations.</t>
    <phoneticPr fontId="40" type="noConversion"/>
  </si>
  <si>
    <r>
      <rPr>
        <sz val="11"/>
        <rFont val="Calibri"/>
        <family val="2"/>
      </rPr>
      <t>Use command to switch : adb shell settings put global hmd_battery_saver_support 0/1,  0 is for AOSP, 1 is for HMD.
Device 1: (AOSP)
a. Use command adb shell settings put global hmd_battery_saver_support 0 to switch to AOSP version BatterySaver
b. Run DoU test till battery level reaches 0
Device 2: (HMD)
a. Use command adb shell settings put global hmd_battery_saver_support 1 to switch to HMD version BatterySaver.
b. Run DoU test till battery level reaches 0 (BatterySaver is automatically enabled at 20%, do not turn it off)</t>
    </r>
    <r>
      <rPr>
        <sz val="11"/>
        <color rgb="FFFF0000"/>
        <rFont val="Calibri"/>
        <family val="2"/>
      </rPr>
      <t xml:space="preserve">
</t>
    </r>
    <phoneticPr fontId="40" type="noConversion"/>
  </si>
  <si>
    <t>Please Note:</t>
    <phoneticPr fontId="40" type="noConversion"/>
  </si>
  <si>
    <t>XXX _HMD</t>
    <phoneticPr fontId="4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</si>
</sst>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yyyy/m/d;@"/>
    <numFmt numFmtId="177" formatCode="#.00&quot; mA&quot;"/>
    <numFmt numFmtId="178" formatCode="0.00_ "/>
    <numFmt numFmtId="179" formatCode="m/d\ hh:mm"/>
    <numFmt numFmtId="180" formatCode="0.0"/>
    <numFmt numFmtId="181" formatCode="\ #&quot; mAh&quot;"/>
    <numFmt numFmtId="182" formatCode="yyyy/m/d\ h:mm;@"/>
    <numFmt numFmtId="183" formatCode="\ #.00&quot; hours&quot;"/>
  </numFmts>
  <fonts count="42">
    <font>
      <sz val="11"/>
      <color theme="1"/>
      <name val="等线"/>
      <charset val="134"/>
      <scheme val="minor"/>
    </font>
    <font>
      <sz val="12"/>
      <name val="Calibri"/>
      <family val="2"/>
    </font>
    <font>
      <sz val="10"/>
      <name val="Calibri"/>
      <family val="2"/>
    </font>
    <font>
      <b/>
      <sz val="16"/>
      <name val="Calibri"/>
      <family val="2"/>
    </font>
    <font>
      <b/>
      <sz val="12"/>
      <color theme="0"/>
      <name val="Calibri"/>
      <family val="2"/>
    </font>
    <font>
      <sz val="10"/>
      <color indexed="12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4"/>
      <color rgb="FFFF0000"/>
      <name val="Calibri"/>
      <family val="2"/>
    </font>
    <font>
      <sz val="11"/>
      <color theme="1"/>
      <name val="宋体"/>
      <family val="3"/>
      <charset val="134"/>
    </font>
    <font>
      <sz val="11"/>
      <color rgb="FFFFFFFF"/>
      <name val="Calibri"/>
      <family val="2"/>
    </font>
    <font>
      <strike/>
      <sz val="11"/>
      <color theme="1"/>
      <name val="Calibri"/>
      <family val="2"/>
    </font>
    <font>
      <b/>
      <sz val="12"/>
      <color rgb="FFFF0000"/>
      <name val="微軟正黑體"/>
      <charset val="134"/>
    </font>
    <font>
      <b/>
      <sz val="11"/>
      <color rgb="FF0000FF"/>
      <name val="Calibri"/>
      <family val="2"/>
    </font>
    <font>
      <sz val="11"/>
      <color theme="5" tint="-0.499984740745262"/>
      <name val="微軟正黑體"/>
      <charset val="134"/>
    </font>
    <font>
      <sz val="11"/>
      <color theme="5" tint="-0.499984740745262"/>
      <name val="Calibri"/>
      <family val="2"/>
    </font>
    <font>
      <b/>
      <sz val="11"/>
      <color theme="0"/>
      <name val="Calibri"/>
      <family val="2"/>
    </font>
    <font>
      <b/>
      <sz val="11"/>
      <color rgb="FFFF0000"/>
      <name val="Calibri"/>
      <family val="2"/>
    </font>
    <font>
      <sz val="11"/>
      <color indexed="8"/>
      <name val="Calibri"/>
      <family val="2"/>
    </font>
    <font>
      <b/>
      <i/>
      <sz val="12"/>
      <name val="Calibri"/>
      <family val="2"/>
    </font>
    <font>
      <b/>
      <sz val="14"/>
      <color theme="0"/>
      <name val="Calibri"/>
      <family val="2"/>
    </font>
    <font>
      <b/>
      <sz val="14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b/>
      <i/>
      <sz val="12"/>
      <color indexed="9"/>
      <name val="Calibri"/>
      <family val="2"/>
    </font>
    <font>
      <sz val="11"/>
      <color theme="1"/>
      <name val="等线"/>
      <family val="3"/>
      <charset val="134"/>
      <scheme val="minor"/>
    </font>
    <font>
      <u/>
      <sz val="12"/>
      <color indexed="12"/>
      <name val="新細明體"/>
      <charset val="136"/>
    </font>
    <font>
      <sz val="12"/>
      <name val="新細明體"/>
      <charset val="136"/>
    </font>
    <font>
      <sz val="10"/>
      <name val="Arial"/>
      <family val="2"/>
    </font>
    <font>
      <sz val="12"/>
      <name val="Times New Roman"/>
      <family val="1"/>
    </font>
    <font>
      <sz val="12"/>
      <color theme="1"/>
      <name val="等线"/>
      <family val="3"/>
      <charset val="134"/>
      <scheme val="minor"/>
    </font>
    <font>
      <sz val="14"/>
      <name val="Calibri"/>
      <family val="2"/>
    </font>
    <font>
      <sz val="11"/>
      <color theme="5" tint="-0.499984740745262"/>
      <name val="宋体"/>
      <family val="3"/>
      <charset val="134"/>
    </font>
    <font>
      <sz val="11"/>
      <color rgb="FF0070C0"/>
      <name val="Calibri"/>
      <family val="2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0"/>
      <color theme="1"/>
      <name val="微软雅黑"/>
      <family val="2"/>
      <charset val="134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4" tint="0.39991454817346722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theme="8" tint="0.7998901333658864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</fills>
  <borders count="7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A3A3A3"/>
      </left>
      <right style="medium">
        <color auto="1"/>
      </right>
      <top style="medium">
        <color auto="1"/>
      </top>
      <bottom style="medium">
        <color rgb="FFA3A3A3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theme="0" tint="-0.499984740745262"/>
      </bottom>
      <diagonal/>
    </border>
    <border>
      <left/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/>
      <top style="thin">
        <color theme="0" tint="-0.499984740745262"/>
      </top>
      <bottom/>
      <diagonal/>
    </border>
    <border>
      <left/>
      <right style="medium">
        <color auto="1"/>
      </right>
      <top style="thin">
        <color theme="0" tint="-0.499984740745262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2">
    <xf numFmtId="0" fontId="0" fillId="0" borderId="0"/>
    <xf numFmtId="0" fontId="30" fillId="0" borderId="0"/>
    <xf numFmtId="0" fontId="30" fillId="0" borderId="0">
      <alignment vertical="center"/>
    </xf>
    <xf numFmtId="0" fontId="30" fillId="0" borderId="0"/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/>
    <xf numFmtId="0" fontId="33" fillId="0" borderId="0"/>
    <xf numFmtId="0" fontId="32" fillId="0" borderId="0"/>
    <xf numFmtId="0" fontId="34" fillId="0" borderId="0" applyBorder="0"/>
    <xf numFmtId="0" fontId="33" fillId="0" borderId="0"/>
    <xf numFmtId="0" fontId="30" fillId="0" borderId="0"/>
    <xf numFmtId="0" fontId="35" fillId="0" borderId="0">
      <alignment vertical="center"/>
    </xf>
  </cellStyleXfs>
  <cellXfs count="232">
    <xf numFmtId="0" fontId="0" fillId="0" borderId="0" xfId="0"/>
    <xf numFmtId="49" fontId="1" fillId="2" borderId="1" xfId="8" applyNumberFormat="1" applyFont="1" applyFill="1" applyBorder="1"/>
    <xf numFmtId="49" fontId="2" fillId="2" borderId="1" xfId="8" applyNumberFormat="1" applyFont="1" applyFill="1" applyBorder="1"/>
    <xf numFmtId="0" fontId="0" fillId="0" borderId="1" xfId="0" applyBorder="1" applyAlignment="1">
      <alignment vertical="center"/>
    </xf>
    <xf numFmtId="49" fontId="3" fillId="0" borderId="1" xfId="8" applyNumberFormat="1" applyFont="1" applyBorder="1"/>
    <xf numFmtId="49" fontId="2" fillId="0" borderId="1" xfId="8" applyNumberFormat="1" applyFont="1" applyBorder="1"/>
    <xf numFmtId="49" fontId="1" fillId="0" borderId="2" xfId="8" applyNumberFormat="1" applyFont="1" applyBorder="1"/>
    <xf numFmtId="49" fontId="2" fillId="0" borderId="2" xfId="8" applyNumberFormat="1" applyFont="1" applyBorder="1"/>
    <xf numFmtId="49" fontId="2" fillId="2" borderId="3" xfId="8" applyNumberFormat="1" applyFont="1" applyFill="1" applyBorder="1"/>
    <xf numFmtId="49" fontId="4" fillId="3" borderId="4" xfId="8" applyNumberFormat="1" applyFont="1" applyFill="1" applyBorder="1" applyAlignment="1">
      <alignment horizontal="center" vertical="center" wrapText="1"/>
    </xf>
    <xf numFmtId="49" fontId="4" fillId="3" borderId="5" xfId="8" applyNumberFormat="1" applyFont="1" applyFill="1" applyBorder="1" applyAlignment="1">
      <alignment horizontal="center" vertical="center" wrapText="1"/>
    </xf>
    <xf numFmtId="49" fontId="4" fillId="3" borderId="6" xfId="8" applyNumberFormat="1" applyFont="1" applyFill="1" applyBorder="1" applyAlignment="1">
      <alignment horizontal="center" vertical="center" wrapText="1"/>
    </xf>
    <xf numFmtId="49" fontId="2" fillId="2" borderId="7" xfId="8" applyNumberFormat="1" applyFont="1" applyFill="1" applyBorder="1"/>
    <xf numFmtId="49" fontId="2" fillId="0" borderId="8" xfId="8" applyNumberFormat="1" applyFont="1" applyBorder="1" applyAlignment="1">
      <alignment horizontal="center" vertical="top" wrapText="1"/>
    </xf>
    <xf numFmtId="176" fontId="2" fillId="0" borderId="9" xfId="8" applyNumberFormat="1" applyFont="1" applyBorder="1" applyAlignment="1">
      <alignment horizontal="center" vertical="top" wrapText="1"/>
    </xf>
    <xf numFmtId="49" fontId="2" fillId="0" borderId="9" xfId="8" applyNumberFormat="1" applyFont="1" applyBorder="1" applyAlignment="1">
      <alignment vertical="top" wrapText="1"/>
    </xf>
    <xf numFmtId="49" fontId="2" fillId="0" borderId="9" xfId="8" applyNumberFormat="1" applyFont="1" applyBorder="1" applyAlignment="1">
      <alignment horizontal="center" vertical="top" wrapText="1"/>
    </xf>
    <xf numFmtId="49" fontId="2" fillId="0" borderId="9" xfId="8" applyNumberFormat="1" applyFont="1" applyBorder="1" applyAlignment="1">
      <alignment horizontal="left" vertical="top" wrapText="1"/>
    </xf>
    <xf numFmtId="49" fontId="2" fillId="0" borderId="10" xfId="8" applyNumberFormat="1" applyFont="1" applyBorder="1" applyAlignment="1">
      <alignment horizontal="left" vertical="center" wrapText="1"/>
    </xf>
    <xf numFmtId="49" fontId="2" fillId="0" borderId="8" xfId="8" applyNumberFormat="1" applyFont="1" applyBorder="1" applyAlignment="1">
      <alignment horizontal="center" vertical="center" wrapText="1"/>
    </xf>
    <xf numFmtId="176" fontId="2" fillId="0" borderId="9" xfId="8" applyNumberFormat="1" applyFont="1" applyBorder="1" applyAlignment="1">
      <alignment horizontal="center" vertical="center" wrapText="1"/>
    </xf>
    <xf numFmtId="49" fontId="2" fillId="0" borderId="9" xfId="8" applyNumberFormat="1" applyFont="1" applyBorder="1" applyAlignment="1">
      <alignment vertical="center" wrapText="1"/>
    </xf>
    <xf numFmtId="49" fontId="2" fillId="0" borderId="9" xfId="8" applyNumberFormat="1" applyFont="1" applyBorder="1" applyAlignment="1">
      <alignment horizontal="center" vertical="center" wrapText="1"/>
    </xf>
    <xf numFmtId="49" fontId="5" fillId="0" borderId="9" xfId="8" applyNumberFormat="1" applyFont="1" applyBorder="1" applyAlignment="1">
      <alignment horizontal="center" vertical="center" wrapText="1"/>
    </xf>
    <xf numFmtId="49" fontId="2" fillId="0" borderId="10" xfId="8" applyNumberFormat="1" applyFont="1" applyBorder="1" applyAlignment="1">
      <alignment horizontal="left" wrapText="1"/>
    </xf>
    <xf numFmtId="0" fontId="2" fillId="0" borderId="10" xfId="8" applyFont="1" applyBorder="1" applyAlignment="1">
      <alignment horizontal="left" wrapText="1"/>
    </xf>
    <xf numFmtId="0" fontId="0" fillId="0" borderId="3" xfId="0" applyBorder="1" applyAlignment="1">
      <alignment vertical="center"/>
    </xf>
    <xf numFmtId="49" fontId="2" fillId="0" borderId="10" xfId="8" applyNumberFormat="1" applyFont="1" applyBorder="1" applyAlignment="1">
      <alignment horizontal="left" vertical="top" wrapText="1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6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9" xfId="0" applyFont="1" applyFill="1" applyBorder="1" applyAlignment="1">
      <alignment horizontal="center"/>
    </xf>
    <xf numFmtId="9" fontId="6" fillId="0" borderId="21" xfId="0" applyNumberFormat="1" applyFont="1" applyBorder="1" applyAlignment="1">
      <alignment horizontal="center"/>
    </xf>
    <xf numFmtId="0" fontId="8" fillId="4" borderId="0" xfId="3" applyFont="1" applyFill="1" applyAlignment="1">
      <alignment horizontal="right"/>
    </xf>
    <xf numFmtId="9" fontId="6" fillId="4" borderId="0" xfId="0" applyNumberFormat="1" applyFont="1" applyFill="1" applyAlignment="1">
      <alignment horizontal="center"/>
    </xf>
    <xf numFmtId="0" fontId="9" fillId="7" borderId="22" xfId="0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horizontal="center" vertical="center"/>
    </xf>
    <xf numFmtId="0" fontId="9" fillId="7" borderId="23" xfId="0" applyFont="1" applyFill="1" applyBorder="1" applyAlignment="1">
      <alignment horizontal="center" vertical="center"/>
    </xf>
    <xf numFmtId="0" fontId="9" fillId="7" borderId="23" xfId="0" applyFont="1" applyFill="1" applyBorder="1" applyAlignment="1">
      <alignment horizontal="center" vertical="center" wrapText="1"/>
    </xf>
    <xf numFmtId="0" fontId="10" fillId="8" borderId="24" xfId="0" applyFont="1" applyFill="1" applyBorder="1"/>
    <xf numFmtId="0" fontId="10" fillId="8" borderId="25" xfId="0" applyFont="1" applyFill="1" applyBorder="1"/>
    <xf numFmtId="9" fontId="7" fillId="0" borderId="10" xfId="3" applyNumberFormat="1" applyFont="1" applyBorder="1" applyAlignment="1">
      <alignment horizontal="left" vertical="center" wrapText="1"/>
    </xf>
    <xf numFmtId="0" fontId="6" fillId="9" borderId="26" xfId="3" applyFont="1" applyFill="1" applyBorder="1" applyAlignment="1">
      <alignment horizontal="center" vertical="center" wrapText="1"/>
    </xf>
    <xf numFmtId="0" fontId="7" fillId="9" borderId="27" xfId="3" applyFont="1" applyFill="1" applyBorder="1" applyAlignment="1">
      <alignment vertical="center" wrapText="1"/>
    </xf>
    <xf numFmtId="0" fontId="7" fillId="9" borderId="27" xfId="3" applyFont="1" applyFill="1" applyBorder="1" applyAlignment="1">
      <alignment horizontal="center" vertical="center" wrapText="1"/>
    </xf>
    <xf numFmtId="0" fontId="6" fillId="9" borderId="27" xfId="3" applyFont="1" applyFill="1" applyBorder="1" applyAlignment="1">
      <alignment horizontal="center" vertical="center"/>
    </xf>
    <xf numFmtId="20" fontId="11" fillId="10" borderId="27" xfId="0" applyNumberFormat="1" applyFont="1" applyFill="1" applyBorder="1" applyAlignment="1">
      <alignment horizontal="center" vertical="center"/>
    </xf>
    <xf numFmtId="9" fontId="6" fillId="9" borderId="9" xfId="3" applyNumberFormat="1" applyFont="1" applyFill="1" applyBorder="1" applyAlignment="1">
      <alignment horizontal="center"/>
    </xf>
    <xf numFmtId="0" fontId="6" fillId="9" borderId="8" xfId="3" applyFont="1" applyFill="1" applyBorder="1" applyAlignment="1">
      <alignment horizontal="center" wrapText="1"/>
    </xf>
    <xf numFmtId="0" fontId="7" fillId="9" borderId="9" xfId="3" applyFont="1" applyFill="1" applyBorder="1" applyAlignment="1">
      <alignment vertical="center" wrapText="1"/>
    </xf>
    <xf numFmtId="0" fontId="7" fillId="9" borderId="9" xfId="3" applyFont="1" applyFill="1" applyBorder="1" applyAlignment="1">
      <alignment horizontal="center" wrapText="1"/>
    </xf>
    <xf numFmtId="0" fontId="6" fillId="9" borderId="9" xfId="3" applyFont="1" applyFill="1" applyBorder="1" applyAlignment="1">
      <alignment horizontal="center"/>
    </xf>
    <xf numFmtId="9" fontId="7" fillId="4" borderId="10" xfId="3" applyNumberFormat="1" applyFont="1" applyFill="1" applyBorder="1" applyAlignment="1">
      <alignment horizontal="left" vertical="center" wrapText="1"/>
    </xf>
    <xf numFmtId="0" fontId="6" fillId="11" borderId="22" xfId="3" applyFont="1" applyFill="1" applyBorder="1" applyAlignment="1">
      <alignment horizontal="center" vertical="center" wrapText="1"/>
    </xf>
    <xf numFmtId="0" fontId="7" fillId="11" borderId="23" xfId="3" applyFont="1" applyFill="1" applyBorder="1" applyAlignment="1">
      <alignment vertical="center" wrapText="1"/>
    </xf>
    <xf numFmtId="0" fontId="7" fillId="11" borderId="23" xfId="3" applyFont="1" applyFill="1" applyBorder="1" applyAlignment="1">
      <alignment horizontal="center" vertical="center" wrapText="1"/>
    </xf>
    <xf numFmtId="0" fontId="6" fillId="11" borderId="23" xfId="3" applyFont="1" applyFill="1" applyBorder="1" applyAlignment="1">
      <alignment horizontal="center" vertical="center"/>
    </xf>
    <xf numFmtId="20" fontId="11" fillId="12" borderId="23" xfId="0" applyNumberFormat="1" applyFont="1" applyFill="1" applyBorder="1" applyAlignment="1">
      <alignment horizontal="center" vertical="center"/>
    </xf>
    <xf numFmtId="9" fontId="6" fillId="11" borderId="23" xfId="3" applyNumberFormat="1" applyFont="1" applyFill="1" applyBorder="1" applyAlignment="1">
      <alignment horizontal="center" vertical="center"/>
    </xf>
    <xf numFmtId="20" fontId="11" fillId="10" borderId="9" xfId="0" applyNumberFormat="1" applyFont="1" applyFill="1" applyBorder="1" applyAlignment="1">
      <alignment horizontal="center" vertical="center"/>
    </xf>
    <xf numFmtId="9" fontId="12" fillId="4" borderId="10" xfId="3" applyNumberFormat="1" applyFont="1" applyFill="1" applyBorder="1" applyAlignment="1">
      <alignment horizontal="left" vertical="center" wrapText="1"/>
    </xf>
    <xf numFmtId="9" fontId="13" fillId="4" borderId="10" xfId="3" applyNumberFormat="1" applyFont="1" applyFill="1" applyBorder="1" applyAlignment="1">
      <alignment horizontal="left" vertical="center" wrapText="1"/>
    </xf>
    <xf numFmtId="9" fontId="14" fillId="9" borderId="9" xfId="3" applyNumberFormat="1" applyFont="1" applyFill="1" applyBorder="1" applyAlignment="1">
      <alignment horizontal="center"/>
    </xf>
    <xf numFmtId="0" fontId="15" fillId="13" borderId="28" xfId="0" applyFont="1" applyFill="1" applyBorder="1" applyAlignment="1">
      <alignment horizontal="center" vertical="center"/>
    </xf>
    <xf numFmtId="9" fontId="6" fillId="9" borderId="27" xfId="3" applyNumberFormat="1" applyFont="1" applyFill="1" applyBorder="1" applyAlignment="1">
      <alignment horizontal="center"/>
    </xf>
    <xf numFmtId="0" fontId="7" fillId="14" borderId="9" xfId="3" applyFont="1" applyFill="1" applyBorder="1" applyAlignment="1">
      <alignment vertical="center" wrapText="1"/>
    </xf>
    <xf numFmtId="0" fontId="6" fillId="0" borderId="34" xfId="0" applyFont="1" applyBorder="1" applyAlignment="1">
      <alignment horizontal="center"/>
    </xf>
    <xf numFmtId="0" fontId="7" fillId="5" borderId="18" xfId="0" applyFont="1" applyFill="1" applyBorder="1" applyAlignment="1">
      <alignment horizontal="right" vertical="center" wrapText="1"/>
    </xf>
    <xf numFmtId="0" fontId="6" fillId="5" borderId="19" xfId="0" applyFont="1" applyFill="1" applyBorder="1" applyAlignment="1">
      <alignment wrapText="1"/>
    </xf>
    <xf numFmtId="0" fontId="6" fillId="5" borderId="34" xfId="0" applyFont="1" applyFill="1" applyBorder="1" applyAlignment="1">
      <alignment wrapText="1"/>
    </xf>
    <xf numFmtId="0" fontId="7" fillId="0" borderId="18" xfId="0" applyFont="1" applyBorder="1" applyAlignment="1">
      <alignment horizontal="right" vertical="center" wrapText="1"/>
    </xf>
    <xf numFmtId="9" fontId="6" fillId="0" borderId="19" xfId="0" applyNumberFormat="1" applyFont="1" applyBorder="1" applyAlignment="1">
      <alignment wrapText="1"/>
    </xf>
    <xf numFmtId="180" fontId="6" fillId="0" borderId="34" xfId="0" applyNumberFormat="1" applyFont="1" applyBorder="1" applyAlignment="1">
      <alignment wrapText="1"/>
    </xf>
    <xf numFmtId="0" fontId="6" fillId="6" borderId="34" xfId="0" applyFont="1" applyFill="1" applyBorder="1" applyAlignment="1">
      <alignment horizontal="center"/>
    </xf>
    <xf numFmtId="9" fontId="6" fillId="0" borderId="35" xfId="0" applyNumberFormat="1" applyFont="1" applyBorder="1" applyAlignment="1">
      <alignment horizontal="center"/>
    </xf>
    <xf numFmtId="0" fontId="7" fillId="0" borderId="20" xfId="0" applyFont="1" applyBorder="1" applyAlignment="1">
      <alignment horizontal="right" vertical="center" wrapText="1"/>
    </xf>
    <xf numFmtId="9" fontId="6" fillId="0" borderId="21" xfId="0" applyNumberFormat="1" applyFont="1" applyBorder="1" applyAlignment="1">
      <alignment wrapText="1"/>
    </xf>
    <xf numFmtId="1" fontId="6" fillId="0" borderId="35" xfId="0" applyNumberFormat="1" applyFont="1" applyBorder="1" applyAlignment="1">
      <alignment wrapText="1"/>
    </xf>
    <xf numFmtId="0" fontId="7" fillId="4" borderId="0" xfId="0" applyFont="1" applyFill="1" applyAlignment="1">
      <alignment horizontal="left" vertical="center" wrapText="1"/>
    </xf>
    <xf numFmtId="9" fontId="6" fillId="4" borderId="0" xfId="0" applyNumberFormat="1" applyFont="1" applyFill="1" applyAlignment="1">
      <alignment wrapText="1"/>
    </xf>
    <xf numFmtId="1" fontId="6" fillId="4" borderId="0" xfId="0" applyNumberFormat="1" applyFont="1" applyFill="1" applyAlignment="1">
      <alignment wrapText="1"/>
    </xf>
    <xf numFmtId="0" fontId="7" fillId="4" borderId="0" xfId="0" applyFont="1" applyFill="1" applyAlignment="1">
      <alignment horizontal="right" vertical="center" wrapText="1"/>
    </xf>
    <xf numFmtId="0" fontId="8" fillId="7" borderId="36" xfId="0" applyFont="1" applyFill="1" applyBorder="1" applyAlignment="1">
      <alignment horizontal="center" vertical="center" wrapText="1"/>
    </xf>
    <xf numFmtId="0" fontId="10" fillId="8" borderId="37" xfId="0" applyFont="1" applyFill="1" applyBorder="1"/>
    <xf numFmtId="0" fontId="6" fillId="7" borderId="20" xfId="0" applyFont="1" applyFill="1" applyBorder="1" applyAlignment="1">
      <alignment vertical="center" wrapText="1"/>
    </xf>
    <xf numFmtId="0" fontId="6" fillId="7" borderId="35" xfId="0" applyFont="1" applyFill="1" applyBorder="1" applyAlignment="1">
      <alignment vertical="center" wrapText="1"/>
    </xf>
    <xf numFmtId="9" fontId="7" fillId="9" borderId="38" xfId="3" applyNumberFormat="1" applyFont="1" applyFill="1" applyBorder="1" applyAlignment="1">
      <alignment horizontal="left" vertical="center" wrapText="1"/>
    </xf>
    <xf numFmtId="9" fontId="6" fillId="0" borderId="39" xfId="0" applyNumberFormat="1" applyFont="1" applyBorder="1" applyAlignment="1">
      <alignment horizontal="left" vertical="center"/>
    </xf>
    <xf numFmtId="180" fontId="6" fillId="0" borderId="40" xfId="0" applyNumberFormat="1" applyFont="1" applyBorder="1" applyAlignment="1">
      <alignment horizontal="left" vertical="center"/>
    </xf>
    <xf numFmtId="0" fontId="6" fillId="0" borderId="40" xfId="0" applyFont="1" applyBorder="1" applyAlignment="1">
      <alignment horizontal="left" vertical="center"/>
    </xf>
    <xf numFmtId="9" fontId="7" fillId="9" borderId="10" xfId="3" applyNumberFormat="1" applyFont="1" applyFill="1" applyBorder="1" applyAlignment="1">
      <alignment horizontal="left" vertical="center" wrapText="1"/>
    </xf>
    <xf numFmtId="9" fontId="6" fillId="0" borderId="18" xfId="0" applyNumberFormat="1" applyFont="1" applyBorder="1" applyAlignment="1">
      <alignment horizontal="left" vertical="center"/>
    </xf>
    <xf numFmtId="180" fontId="6" fillId="0" borderId="34" xfId="0" applyNumberFormat="1" applyFont="1" applyBorder="1" applyAlignment="1">
      <alignment horizontal="left" vertical="center"/>
    </xf>
    <xf numFmtId="0" fontId="6" fillId="0" borderId="34" xfId="0" applyFont="1" applyBorder="1" applyAlignment="1">
      <alignment horizontal="left" vertical="center"/>
    </xf>
    <xf numFmtId="20" fontId="6" fillId="0" borderId="0" xfId="0" applyNumberFormat="1" applyFont="1"/>
    <xf numFmtId="9" fontId="7" fillId="11" borderId="36" xfId="3" applyNumberFormat="1" applyFont="1" applyFill="1" applyBorder="1" applyAlignment="1">
      <alignment horizontal="left" vertical="center" wrapText="1"/>
    </xf>
    <xf numFmtId="0" fontId="16" fillId="0" borderId="0" xfId="0" applyFont="1"/>
    <xf numFmtId="9" fontId="6" fillId="11" borderId="18" xfId="0" applyNumberFormat="1" applyFont="1" applyFill="1" applyBorder="1" applyAlignment="1">
      <alignment horizontal="left" vertical="center"/>
    </xf>
    <xf numFmtId="180" fontId="6" fillId="11" borderId="34" xfId="0" applyNumberFormat="1" applyFont="1" applyFill="1" applyBorder="1" applyAlignment="1">
      <alignment horizontal="left" vertical="center"/>
    </xf>
    <xf numFmtId="0" fontId="6" fillId="11" borderId="0" xfId="0" applyFont="1" applyFill="1"/>
    <xf numFmtId="0" fontId="6" fillId="11" borderId="34" xfId="0" applyFont="1" applyFill="1" applyBorder="1" applyAlignment="1">
      <alignment horizontal="left" vertical="center"/>
    </xf>
    <xf numFmtId="9" fontId="6" fillId="15" borderId="18" xfId="0" applyNumberFormat="1" applyFont="1" applyFill="1" applyBorder="1" applyAlignment="1">
      <alignment horizontal="left" vertical="center"/>
    </xf>
    <xf numFmtId="180" fontId="6" fillId="15" borderId="34" xfId="0" applyNumberFormat="1" applyFont="1" applyFill="1" applyBorder="1" applyAlignment="1">
      <alignment horizontal="left" vertical="center"/>
    </xf>
    <xf numFmtId="0" fontId="6" fillId="15" borderId="0" xfId="0" applyFont="1" applyFill="1"/>
    <xf numFmtId="0" fontId="6" fillId="15" borderId="34" xfId="0" applyFont="1" applyFill="1" applyBorder="1" applyAlignment="1">
      <alignment horizontal="left" vertical="center"/>
    </xf>
    <xf numFmtId="9" fontId="6" fillId="14" borderId="9" xfId="3" applyNumberFormat="1" applyFont="1" applyFill="1" applyBorder="1" applyAlignment="1">
      <alignment horizontal="center"/>
    </xf>
    <xf numFmtId="0" fontId="10" fillId="8" borderId="41" xfId="0" applyFont="1" applyFill="1" applyBorder="1"/>
    <xf numFmtId="0" fontId="10" fillId="8" borderId="42" xfId="0" applyFont="1" applyFill="1" applyBorder="1"/>
    <xf numFmtId="0" fontId="15" fillId="13" borderId="43" xfId="0" applyFont="1" applyFill="1" applyBorder="1" applyAlignment="1">
      <alignment horizontal="center" vertical="center"/>
    </xf>
    <xf numFmtId="0" fontId="6" fillId="9" borderId="8" xfId="3" applyFont="1" applyFill="1" applyBorder="1" applyAlignment="1">
      <alignment horizontal="center" vertical="center" wrapText="1"/>
    </xf>
    <xf numFmtId="0" fontId="7" fillId="9" borderId="9" xfId="3" applyFont="1" applyFill="1" applyBorder="1" applyAlignment="1">
      <alignment horizontal="center" vertical="center" wrapText="1"/>
    </xf>
    <xf numFmtId="0" fontId="6" fillId="9" borderId="9" xfId="3" applyFont="1" applyFill="1" applyBorder="1" applyAlignment="1">
      <alignment horizontal="center" vertical="center"/>
    </xf>
    <xf numFmtId="0" fontId="10" fillId="8" borderId="44" xfId="0" applyFont="1" applyFill="1" applyBorder="1"/>
    <xf numFmtId="0" fontId="18" fillId="0" borderId="0" xfId="3" applyFont="1" applyAlignment="1">
      <alignment horizontal="right" vertical="center"/>
    </xf>
    <xf numFmtId="179" fontId="6" fillId="6" borderId="0" xfId="0" applyNumberFormat="1" applyFont="1" applyFill="1" applyAlignment="1">
      <alignment horizontal="center"/>
    </xf>
    <xf numFmtId="0" fontId="18" fillId="0" borderId="0" xfId="0" applyFont="1" applyAlignment="1">
      <alignment horizontal="right"/>
    </xf>
    <xf numFmtId="178" fontId="6" fillId="0" borderId="0" xfId="0" applyNumberFormat="1" applyFont="1" applyAlignment="1">
      <alignment horizontal="center"/>
    </xf>
    <xf numFmtId="0" fontId="6" fillId="6" borderId="0" xfId="0" applyFont="1" applyFill="1" applyAlignment="1">
      <alignment horizontal="center"/>
    </xf>
    <xf numFmtId="0" fontId="9" fillId="16" borderId="0" xfId="0" applyFont="1" applyFill="1" applyAlignment="1">
      <alignment horizontal="right"/>
    </xf>
    <xf numFmtId="0" fontId="6" fillId="16" borderId="0" xfId="0" applyFont="1" applyFill="1" applyAlignment="1">
      <alignment horizontal="center"/>
    </xf>
    <xf numFmtId="0" fontId="19" fillId="0" borderId="0" xfId="0" applyFont="1" applyAlignment="1">
      <alignment horizontal="left" vertical="center" wrapText="1"/>
    </xf>
    <xf numFmtId="0" fontId="18" fillId="0" borderId="46" xfId="3" applyFont="1" applyBorder="1" applyAlignment="1">
      <alignment horizontal="right" vertical="center"/>
    </xf>
    <xf numFmtId="9" fontId="6" fillId="0" borderId="47" xfId="0" applyNumberFormat="1" applyFont="1" applyBorder="1" applyAlignment="1">
      <alignment horizontal="center"/>
    </xf>
    <xf numFmtId="0" fontId="18" fillId="0" borderId="48" xfId="3" applyFont="1" applyBorder="1" applyAlignment="1">
      <alignment horizontal="right" vertical="center"/>
    </xf>
    <xf numFmtId="0" fontId="10" fillId="0" borderId="0" xfId="0" applyFont="1" applyAlignment="1">
      <alignment horizontal="left" vertical="center" wrapText="1"/>
    </xf>
    <xf numFmtId="10" fontId="6" fillId="0" borderId="50" xfId="0" applyNumberFormat="1" applyFont="1" applyBorder="1" applyAlignment="1">
      <alignment horizontal="center"/>
    </xf>
    <xf numFmtId="0" fontId="18" fillId="0" borderId="51" xfId="3" applyFont="1" applyBorder="1" applyAlignment="1">
      <alignment horizontal="right" vertical="center"/>
    </xf>
    <xf numFmtId="182" fontId="17" fillId="0" borderId="0" xfId="3" applyNumberFormat="1" applyFont="1" applyAlignment="1">
      <alignment horizontal="center" vertical="center"/>
    </xf>
    <xf numFmtId="0" fontId="6" fillId="0" borderId="54" xfId="0" applyFont="1" applyBorder="1" applyAlignment="1">
      <alignment horizontal="center" vertical="top"/>
    </xf>
    <xf numFmtId="0" fontId="6" fillId="4" borderId="55" xfId="0" applyFont="1" applyFill="1" applyBorder="1" applyAlignment="1">
      <alignment wrapText="1"/>
    </xf>
    <xf numFmtId="0" fontId="6" fillId="0" borderId="56" xfId="0" applyFont="1" applyBorder="1" applyAlignment="1">
      <alignment horizontal="center" vertical="top"/>
    </xf>
    <xf numFmtId="0" fontId="6" fillId="4" borderId="57" xfId="0" applyFont="1" applyFill="1" applyBorder="1" applyAlignment="1">
      <alignment wrapText="1"/>
    </xf>
    <xf numFmtId="0" fontId="6" fillId="0" borderId="58" xfId="0" applyFont="1" applyBorder="1" applyAlignment="1">
      <alignment horizontal="center" vertical="top"/>
    </xf>
    <xf numFmtId="0" fontId="6" fillId="4" borderId="59" xfId="0" applyFont="1" applyFill="1" applyBorder="1" applyAlignment="1">
      <alignment wrapText="1"/>
    </xf>
    <xf numFmtId="0" fontId="22" fillId="0" borderId="60" xfId="0" applyFont="1" applyBorder="1" applyAlignment="1">
      <alignment horizontal="center" vertical="top"/>
    </xf>
    <xf numFmtId="0" fontId="22" fillId="0" borderId="61" xfId="0" applyFont="1" applyBorder="1" applyAlignment="1">
      <alignment wrapText="1"/>
    </xf>
    <xf numFmtId="0" fontId="6" fillId="0" borderId="60" xfId="0" applyFont="1" applyBorder="1" applyAlignment="1">
      <alignment horizontal="center" vertical="top"/>
    </xf>
    <xf numFmtId="0" fontId="6" fillId="4" borderId="61" xfId="0" applyFont="1" applyFill="1" applyBorder="1" applyAlignment="1">
      <alignment wrapText="1"/>
    </xf>
    <xf numFmtId="0" fontId="6" fillId="0" borderId="62" xfId="0" applyFont="1" applyBorder="1" applyAlignment="1">
      <alignment horizontal="center" vertical="top"/>
    </xf>
    <xf numFmtId="0" fontId="6" fillId="4" borderId="63" xfId="0" applyFont="1" applyFill="1" applyBorder="1" applyAlignment="1">
      <alignment wrapText="1"/>
    </xf>
    <xf numFmtId="0" fontId="23" fillId="0" borderId="1" xfId="0" applyFont="1" applyBorder="1" applyAlignment="1">
      <alignment vertical="center"/>
    </xf>
    <xf numFmtId="0" fontId="24" fillId="0" borderId="1" xfId="6" applyFont="1" applyBorder="1" applyAlignment="1">
      <alignment wrapText="1"/>
    </xf>
    <xf numFmtId="0" fontId="6" fillId="0" borderId="1" xfId="10" applyFont="1" applyBorder="1"/>
    <xf numFmtId="0" fontId="6" fillId="0" borderId="1" xfId="10" applyFont="1" applyBorder="1" applyAlignment="1">
      <alignment horizontal="center"/>
    </xf>
    <xf numFmtId="0" fontId="6" fillId="0" borderId="0" xfId="10" applyFont="1"/>
    <xf numFmtId="0" fontId="6" fillId="0" borderId="0" xfId="10" applyFont="1" applyAlignment="1">
      <alignment horizontal="center"/>
    </xf>
    <xf numFmtId="0" fontId="6" fillId="0" borderId="64" xfId="10" applyFont="1" applyBorder="1"/>
    <xf numFmtId="0" fontId="8" fillId="19" borderId="60" xfId="5" applyFont="1" applyFill="1" applyBorder="1" applyAlignment="1">
      <alignment horizontal="right" vertical="top" wrapText="1"/>
    </xf>
    <xf numFmtId="0" fontId="27" fillId="20" borderId="8" xfId="11" applyFont="1" applyFill="1" applyBorder="1" applyAlignment="1">
      <alignment horizontal="center" vertical="center"/>
    </xf>
    <xf numFmtId="0" fontId="27" fillId="20" borderId="9" xfId="11" applyFont="1" applyFill="1" applyBorder="1" applyAlignment="1">
      <alignment horizontal="center" vertical="center" wrapText="1"/>
    </xf>
    <xf numFmtId="0" fontId="27" fillId="20" borderId="10" xfId="11" applyFont="1" applyFill="1" applyBorder="1" applyAlignment="1">
      <alignment horizontal="center" vertical="center" wrapText="1"/>
    </xf>
    <xf numFmtId="0" fontId="7" fillId="0" borderId="8" xfId="11" applyFont="1" applyBorder="1" applyAlignment="1">
      <alignment horizontal="center" vertical="center"/>
    </xf>
    <xf numFmtId="181" fontId="7" fillId="0" borderId="9" xfId="11" applyNumberFormat="1" applyFont="1" applyBorder="1" applyAlignment="1">
      <alignment horizontal="center" vertical="center" wrapText="1"/>
    </xf>
    <xf numFmtId="183" fontId="7" fillId="0" borderId="9" xfId="11" applyNumberFormat="1" applyFont="1" applyBorder="1" applyAlignment="1">
      <alignment horizontal="center" vertical="center" wrapText="1"/>
    </xf>
    <xf numFmtId="177" fontId="7" fillId="0" borderId="9" xfId="11" applyNumberFormat="1" applyFont="1" applyBorder="1" applyAlignment="1">
      <alignment horizontal="center" vertical="center"/>
    </xf>
    <xf numFmtId="0" fontId="7" fillId="0" borderId="9" xfId="11" applyFont="1" applyBorder="1" applyAlignment="1">
      <alignment horizontal="center" vertical="center"/>
    </xf>
    <xf numFmtId="0" fontId="7" fillId="0" borderId="13" xfId="11" applyFont="1" applyBorder="1" applyAlignment="1">
      <alignment horizontal="center" vertical="center"/>
    </xf>
    <xf numFmtId="0" fontId="7" fillId="0" borderId="11" xfId="11" applyFont="1" applyBorder="1" applyAlignment="1">
      <alignment horizontal="center" vertical="center"/>
    </xf>
    <xf numFmtId="181" fontId="7" fillId="0" borderId="12" xfId="11" applyNumberFormat="1" applyFont="1" applyBorder="1" applyAlignment="1">
      <alignment horizontal="center" vertical="center" wrapText="1"/>
    </xf>
    <xf numFmtId="183" fontId="7" fillId="0" borderId="12" xfId="11" applyNumberFormat="1" applyFont="1" applyBorder="1" applyAlignment="1">
      <alignment horizontal="center" vertical="center" wrapText="1"/>
    </xf>
    <xf numFmtId="177" fontId="7" fillId="0" borderId="12" xfId="11" applyNumberFormat="1" applyFont="1" applyBorder="1" applyAlignment="1">
      <alignment horizontal="center" vertical="center"/>
    </xf>
    <xf numFmtId="0" fontId="7" fillId="0" borderId="12" xfId="11" applyFont="1" applyBorder="1" applyAlignment="1">
      <alignment horizontal="center" vertical="center"/>
    </xf>
    <xf numFmtId="0" fontId="23" fillId="0" borderId="7" xfId="0" applyFont="1" applyBorder="1" applyAlignment="1">
      <alignment vertical="center"/>
    </xf>
    <xf numFmtId="0" fontId="23" fillId="0" borderId="14" xfId="0" applyFont="1" applyBorder="1"/>
    <xf numFmtId="0" fontId="24" fillId="2" borderId="7" xfId="6" applyFont="1" applyFill="1" applyBorder="1" applyAlignment="1">
      <alignment wrapText="1"/>
    </xf>
    <xf numFmtId="0" fontId="24" fillId="2" borderId="2" xfId="6" applyFont="1" applyFill="1" applyBorder="1" applyAlignment="1">
      <alignment wrapText="1"/>
    </xf>
    <xf numFmtId="0" fontId="6" fillId="0" borderId="3" xfId="10" applyFont="1" applyBorder="1"/>
    <xf numFmtId="0" fontId="6" fillId="0" borderId="14" xfId="10" applyFont="1" applyBorder="1"/>
    <xf numFmtId="0" fontId="6" fillId="0" borderId="14" xfId="10" applyFont="1" applyBorder="1" applyAlignment="1">
      <alignment horizontal="center"/>
    </xf>
    <xf numFmtId="0" fontId="6" fillId="0" borderId="2" xfId="10" applyFont="1" applyBorder="1"/>
    <xf numFmtId="0" fontId="6" fillId="0" borderId="2" xfId="10" applyFont="1" applyBorder="1" applyAlignment="1">
      <alignment horizontal="center"/>
    </xf>
    <xf numFmtId="0" fontId="6" fillId="0" borderId="7" xfId="10" applyFont="1" applyBorder="1"/>
    <xf numFmtId="0" fontId="28" fillId="2" borderId="14" xfId="0" applyFont="1" applyFill="1" applyBorder="1"/>
    <xf numFmtId="0" fontId="29" fillId="2" borderId="2" xfId="6" applyFont="1" applyFill="1" applyBorder="1" applyAlignment="1">
      <alignment wrapText="1"/>
    </xf>
    <xf numFmtId="0" fontId="24" fillId="2" borderId="1" xfId="6" applyFont="1" applyFill="1" applyBorder="1" applyAlignment="1">
      <alignment wrapText="1"/>
    </xf>
    <xf numFmtId="0" fontId="12" fillId="0" borderId="67" xfId="0" applyFont="1" applyBorder="1"/>
    <xf numFmtId="14" fontId="7" fillId="2" borderId="9" xfId="11" applyNumberFormat="1" applyFont="1" applyFill="1" applyBorder="1" applyAlignment="1">
      <alignment horizontal="left" vertical="top" wrapText="1"/>
    </xf>
    <xf numFmtId="14" fontId="7" fillId="2" borderId="10" xfId="11" applyNumberFormat="1" applyFont="1" applyFill="1" applyBorder="1" applyAlignment="1">
      <alignment horizontal="left" vertical="top" wrapText="1"/>
    </xf>
    <xf numFmtId="49" fontId="26" fillId="18" borderId="65" xfId="5" applyNumberFormat="1" applyFont="1" applyFill="1" applyBorder="1" applyAlignment="1">
      <alignment horizontal="center" vertical="top" wrapText="1"/>
    </xf>
    <xf numFmtId="49" fontId="26" fillId="18" borderId="43" xfId="5" applyNumberFormat="1" applyFont="1" applyFill="1" applyBorder="1" applyAlignment="1">
      <alignment horizontal="center" vertical="top" wrapText="1"/>
    </xf>
    <xf numFmtId="49" fontId="26" fillId="18" borderId="66" xfId="5" applyNumberFormat="1" applyFont="1" applyFill="1" applyBorder="1" applyAlignment="1">
      <alignment horizontal="center" vertical="top" wrapText="1"/>
    </xf>
    <xf numFmtId="0" fontId="6" fillId="0" borderId="24" xfId="10" applyFont="1" applyBorder="1" applyAlignment="1">
      <alignment horizontal="left" vertical="top" wrapText="1"/>
    </xf>
    <xf numFmtId="0" fontId="6" fillId="0" borderId="25" xfId="10" applyFont="1" applyBorder="1" applyAlignment="1">
      <alignment horizontal="left" vertical="top"/>
    </xf>
    <xf numFmtId="0" fontId="6" fillId="0" borderId="37" xfId="10" applyFont="1" applyBorder="1" applyAlignment="1">
      <alignment horizontal="left" vertical="top"/>
    </xf>
    <xf numFmtId="49" fontId="25" fillId="18" borderId="41" xfId="5" applyNumberFormat="1" applyFont="1" applyFill="1" applyBorder="1" applyAlignment="1">
      <alignment horizontal="center" vertical="top" wrapText="1"/>
    </xf>
    <xf numFmtId="49" fontId="25" fillId="18" borderId="42" xfId="5" applyNumberFormat="1" applyFont="1" applyFill="1" applyBorder="1" applyAlignment="1">
      <alignment horizontal="center" vertical="top" wrapText="1"/>
    </xf>
    <xf numFmtId="49" fontId="25" fillId="18" borderId="44" xfId="5" applyNumberFormat="1" applyFont="1" applyFill="1" applyBorder="1" applyAlignment="1">
      <alignment horizontal="center" vertical="top" wrapText="1"/>
    </xf>
    <xf numFmtId="0" fontId="7" fillId="2" borderId="9" xfId="11" applyFont="1" applyFill="1" applyBorder="1" applyAlignment="1">
      <alignment horizontal="left" vertical="top" wrapText="1"/>
    </xf>
    <xf numFmtId="0" fontId="7" fillId="2" borderId="10" xfId="11" applyFont="1" applyFill="1" applyBorder="1" applyAlignment="1">
      <alignment horizontal="left" vertical="top" wrapText="1"/>
    </xf>
    <xf numFmtId="0" fontId="21" fillId="17" borderId="52" xfId="0" applyFont="1" applyFill="1" applyBorder="1" applyAlignment="1">
      <alignment horizontal="left"/>
    </xf>
    <xf numFmtId="0" fontId="21" fillId="17" borderId="53" xfId="0" applyFont="1" applyFill="1" applyBorder="1" applyAlignment="1">
      <alignment horizontal="left"/>
    </xf>
    <xf numFmtId="10" fontId="6" fillId="0" borderId="49" xfId="0" applyNumberFormat="1" applyFont="1" applyBorder="1" applyAlignment="1">
      <alignment horizontal="center"/>
    </xf>
    <xf numFmtId="10" fontId="6" fillId="0" borderId="48" xfId="0" applyNumberFormat="1" applyFont="1" applyBorder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6" fillId="7" borderId="15" xfId="0" applyFont="1" applyFill="1" applyBorder="1" applyAlignment="1">
      <alignment horizontal="center" vertical="center"/>
    </xf>
    <xf numFmtId="0" fontId="6" fillId="7" borderId="33" xfId="0" applyFont="1" applyFill="1" applyBorder="1" applyAlignment="1">
      <alignment horizontal="center" vertical="center"/>
    </xf>
    <xf numFmtId="182" fontId="17" fillId="0" borderId="45" xfId="3" applyNumberFormat="1" applyFont="1" applyBorder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6" fillId="7" borderId="15" xfId="0" applyFont="1" applyFill="1" applyBorder="1" applyAlignment="1">
      <alignment horizontal="center"/>
    </xf>
    <xf numFmtId="0" fontId="6" fillId="7" borderId="33" xfId="0" applyFont="1" applyFill="1" applyBorder="1" applyAlignment="1">
      <alignment horizontal="center"/>
    </xf>
    <xf numFmtId="0" fontId="6" fillId="7" borderId="30" xfId="0" applyFont="1" applyFill="1" applyBorder="1" applyAlignment="1">
      <alignment horizontal="center" vertical="center"/>
    </xf>
    <xf numFmtId="0" fontId="6" fillId="7" borderId="32" xfId="0" applyFont="1" applyFill="1" applyBorder="1" applyAlignment="1">
      <alignment horizontal="center" vertical="center"/>
    </xf>
    <xf numFmtId="0" fontId="8" fillId="5" borderId="15" xfId="3" applyFont="1" applyFill="1" applyBorder="1" applyAlignment="1">
      <alignment horizontal="right"/>
    </xf>
    <xf numFmtId="0" fontId="8" fillId="5" borderId="16" xfId="3" applyFont="1" applyFill="1" applyBorder="1" applyAlignment="1">
      <alignment horizontal="right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22" fillId="0" borderId="68" xfId="0" applyFont="1" applyBorder="1"/>
    <xf numFmtId="0" fontId="12" fillId="0" borderId="69" xfId="0" applyFont="1" applyBorder="1" applyAlignment="1">
      <alignment wrapText="1"/>
    </xf>
    <xf numFmtId="0" fontId="41" fillId="0" borderId="17" xfId="0" applyFont="1" applyBorder="1" applyAlignment="1">
      <alignment horizontal="center" vertical="center" wrapText="1"/>
    </xf>
    <xf numFmtId="0" fontId="41" fillId="0" borderId="17" xfId="0" applyFont="1" applyBorder="1" applyAlignment="1">
      <alignment horizontal="center" vertical="center"/>
    </xf>
    <xf numFmtId="0" fontId="41" fillId="0" borderId="29" xfId="0" applyFont="1" applyBorder="1" applyAlignment="1">
      <alignment horizontal="center" vertical="center"/>
    </xf>
    <xf numFmtId="0" fontId="8" fillId="5" borderId="18" xfId="3" applyFont="1" applyFill="1" applyBorder="1" applyAlignment="1">
      <alignment horizontal="right" vertical="center"/>
    </xf>
    <xf numFmtId="0" fontId="8" fillId="5" borderId="19" xfId="3" applyFont="1" applyFill="1" applyBorder="1" applyAlignment="1">
      <alignment horizontal="right" vertical="center"/>
    </xf>
    <xf numFmtId="0" fontId="8" fillId="5" borderId="20" xfId="3" applyFont="1" applyFill="1" applyBorder="1" applyAlignment="1">
      <alignment horizontal="right" vertical="center"/>
    </xf>
    <xf numFmtId="0" fontId="8" fillId="5" borderId="21" xfId="3" applyFont="1" applyFill="1" applyBorder="1" applyAlignment="1">
      <alignment horizontal="right" vertical="center"/>
    </xf>
  </cellXfs>
  <cellStyles count="12">
    <cellStyle name="常规" xfId="0" builtinId="0"/>
    <cellStyle name="常规_Testcase for #3982_Mine" xfId="8" xr:uid="{00000000-0005-0000-0000-000038000000}"/>
    <cellStyle name="超連結 3" xfId="4" xr:uid="{00000000-0005-0000-0000-00002D000000}"/>
    <cellStyle name="一般 2" xfId="3" xr:uid="{00000000-0005-0000-0000-000020000000}"/>
    <cellStyle name="一般 2 2" xfId="1" xr:uid="{00000000-0005-0000-0000-00000B000000}"/>
    <cellStyle name="一般 2 3" xfId="9" xr:uid="{00000000-0005-0000-0000-000039000000}"/>
    <cellStyle name="一般 2 3 2" xfId="7" xr:uid="{00000000-0005-0000-0000-000037000000}"/>
    <cellStyle name="一般 3" xfId="10" xr:uid="{00000000-0005-0000-0000-00003A000000}"/>
    <cellStyle name="一般 3 2" xfId="2" xr:uid="{00000000-0005-0000-0000-000018000000}"/>
    <cellStyle name="一般 6" xfId="11" xr:uid="{00000000-0005-0000-0000-00003B000000}"/>
    <cellStyle name="一般_Dali_ST2_Test_Summary" xfId="5" xr:uid="{00000000-0005-0000-0000-000033000000}"/>
    <cellStyle name="一般_TR_ADQ_REL_V0.480_0005" xfId="6" xr:uid="{00000000-0005-0000-0000-000035000000}"/>
  </cellStyles>
  <dxfs count="5"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DoU battery level</a:t>
            </a:r>
            <a:r>
              <a:rPr lang="en-US" altLang="zh-CN" baseline="0"/>
              <a:t> trend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'Scenario(Phone)'!$G$2</c:f>
              <c:strCache>
                <c:ptCount val="1"/>
                <c:pt idx="0">
                  <c:v>XXX _AOSP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'Scenario(Phone)'!$B$9:$B$128</c:f>
              <c:strCache>
                <c:ptCount val="120"/>
                <c:pt idx="0">
                  <c:v>Day 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Day 2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Day 3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Day 4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Day 5</c:v>
                </c:pt>
                <c:pt idx="97">
                  <c:v>1</c:v>
                </c:pt>
                <c:pt idx="98">
                  <c:v>2</c:v>
                </c:pt>
                <c:pt idx="99">
                  <c:v>3</c:v>
                </c:pt>
                <c:pt idx="100">
                  <c:v>4</c:v>
                </c:pt>
                <c:pt idx="101">
                  <c:v>5</c:v>
                </c:pt>
                <c:pt idx="102">
                  <c:v>6</c:v>
                </c:pt>
                <c:pt idx="103">
                  <c:v>7</c:v>
                </c:pt>
                <c:pt idx="104">
                  <c:v>8</c:v>
                </c:pt>
                <c:pt idx="105">
                  <c:v>9</c:v>
                </c:pt>
                <c:pt idx="106">
                  <c:v>10</c:v>
                </c:pt>
                <c:pt idx="107">
                  <c:v>11</c:v>
                </c:pt>
                <c:pt idx="108">
                  <c:v>12</c:v>
                </c:pt>
                <c:pt idx="109">
                  <c:v>13</c:v>
                </c:pt>
                <c:pt idx="110">
                  <c:v>14</c:v>
                </c:pt>
                <c:pt idx="111">
                  <c:v>15</c:v>
                </c:pt>
                <c:pt idx="112">
                  <c:v>16</c:v>
                </c:pt>
                <c:pt idx="113">
                  <c:v>17</c:v>
                </c:pt>
                <c:pt idx="114">
                  <c:v>18</c:v>
                </c:pt>
                <c:pt idx="115">
                  <c:v>19</c:v>
                </c:pt>
                <c:pt idx="116">
                  <c:v>20</c:v>
                </c:pt>
                <c:pt idx="117">
                  <c:v>21</c:v>
                </c:pt>
                <c:pt idx="118">
                  <c:v>22</c:v>
                </c:pt>
                <c:pt idx="119">
                  <c:v>23</c:v>
                </c:pt>
              </c:strCache>
            </c:strRef>
          </c:cat>
          <c:val>
            <c:numRef>
              <c:f>('Scenario(Phone)'!$G$6,'Scenario(Phone)'!$G$10:$G$128)</c:f>
              <c:numCache>
                <c:formatCode>0%</c:formatCode>
                <c:ptCount val="1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0F-4B53-B977-D5DD5922E952}"/>
            </c:ext>
          </c:extLst>
        </c:ser>
        <c:ser>
          <c:idx val="1"/>
          <c:order val="1"/>
          <c:tx>
            <c:strRef>
              <c:f>'Scenario(Phone)'!$H$2</c:f>
              <c:strCache>
                <c:ptCount val="1"/>
                <c:pt idx="0">
                  <c:v>XXX _HMD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'Scenario(Phone)'!$B$9:$B$128</c:f>
              <c:strCache>
                <c:ptCount val="120"/>
                <c:pt idx="0">
                  <c:v>Day 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Day 2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Day 3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Day 4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Day 5</c:v>
                </c:pt>
                <c:pt idx="97">
                  <c:v>1</c:v>
                </c:pt>
                <c:pt idx="98">
                  <c:v>2</c:v>
                </c:pt>
                <c:pt idx="99">
                  <c:v>3</c:v>
                </c:pt>
                <c:pt idx="100">
                  <c:v>4</c:v>
                </c:pt>
                <c:pt idx="101">
                  <c:v>5</c:v>
                </c:pt>
                <c:pt idx="102">
                  <c:v>6</c:v>
                </c:pt>
                <c:pt idx="103">
                  <c:v>7</c:v>
                </c:pt>
                <c:pt idx="104">
                  <c:v>8</c:v>
                </c:pt>
                <c:pt idx="105">
                  <c:v>9</c:v>
                </c:pt>
                <c:pt idx="106">
                  <c:v>10</c:v>
                </c:pt>
                <c:pt idx="107">
                  <c:v>11</c:v>
                </c:pt>
                <c:pt idx="108">
                  <c:v>12</c:v>
                </c:pt>
                <c:pt idx="109">
                  <c:v>13</c:v>
                </c:pt>
                <c:pt idx="110">
                  <c:v>14</c:v>
                </c:pt>
                <c:pt idx="111">
                  <c:v>15</c:v>
                </c:pt>
                <c:pt idx="112">
                  <c:v>16</c:v>
                </c:pt>
                <c:pt idx="113">
                  <c:v>17</c:v>
                </c:pt>
                <c:pt idx="114">
                  <c:v>18</c:v>
                </c:pt>
                <c:pt idx="115">
                  <c:v>19</c:v>
                </c:pt>
                <c:pt idx="116">
                  <c:v>20</c:v>
                </c:pt>
                <c:pt idx="117">
                  <c:v>21</c:v>
                </c:pt>
                <c:pt idx="118">
                  <c:v>22</c:v>
                </c:pt>
                <c:pt idx="119">
                  <c:v>23</c:v>
                </c:pt>
              </c:strCache>
            </c:strRef>
          </c:cat>
          <c:val>
            <c:numRef>
              <c:f>('Scenario(Phone)'!$H$6,'Scenario(Phone)'!$H$10:$H$128)</c:f>
              <c:numCache>
                <c:formatCode>0%</c:formatCode>
                <c:ptCount val="1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0F-4B53-B977-D5DD5922E952}"/>
            </c:ext>
          </c:extLst>
        </c:ser>
        <c:ser>
          <c:idx val="2"/>
          <c:order val="2"/>
          <c:tx>
            <c:strRef>
              <c:f>'Scenario(Phone)'!$I$2</c:f>
              <c:strCache>
                <c:ptCount val="1"/>
                <c:pt idx="0">
                  <c:v>Reference device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'Scenario(Phone)'!$B$9:$B$128</c:f>
              <c:strCache>
                <c:ptCount val="120"/>
                <c:pt idx="0">
                  <c:v>Day 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Day 2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Day 3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Day 4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Day 5</c:v>
                </c:pt>
                <c:pt idx="97">
                  <c:v>1</c:v>
                </c:pt>
                <c:pt idx="98">
                  <c:v>2</c:v>
                </c:pt>
                <c:pt idx="99">
                  <c:v>3</c:v>
                </c:pt>
                <c:pt idx="100">
                  <c:v>4</c:v>
                </c:pt>
                <c:pt idx="101">
                  <c:v>5</c:v>
                </c:pt>
                <c:pt idx="102">
                  <c:v>6</c:v>
                </c:pt>
                <c:pt idx="103">
                  <c:v>7</c:v>
                </c:pt>
                <c:pt idx="104">
                  <c:v>8</c:v>
                </c:pt>
                <c:pt idx="105">
                  <c:v>9</c:v>
                </c:pt>
                <c:pt idx="106">
                  <c:v>10</c:v>
                </c:pt>
                <c:pt idx="107">
                  <c:v>11</c:v>
                </c:pt>
                <c:pt idx="108">
                  <c:v>12</c:v>
                </c:pt>
                <c:pt idx="109">
                  <c:v>13</c:v>
                </c:pt>
                <c:pt idx="110">
                  <c:v>14</c:v>
                </c:pt>
                <c:pt idx="111">
                  <c:v>15</c:v>
                </c:pt>
                <c:pt idx="112">
                  <c:v>16</c:v>
                </c:pt>
                <c:pt idx="113">
                  <c:v>17</c:v>
                </c:pt>
                <c:pt idx="114">
                  <c:v>18</c:v>
                </c:pt>
                <c:pt idx="115">
                  <c:v>19</c:v>
                </c:pt>
                <c:pt idx="116">
                  <c:v>20</c:v>
                </c:pt>
                <c:pt idx="117">
                  <c:v>21</c:v>
                </c:pt>
                <c:pt idx="118">
                  <c:v>22</c:v>
                </c:pt>
                <c:pt idx="119">
                  <c:v>23</c:v>
                </c:pt>
              </c:strCache>
            </c:strRef>
          </c:cat>
          <c:val>
            <c:numRef>
              <c:f>('Scenario(Phone)'!$I$6,'Scenario(Phone)'!$I$10:$I$128)</c:f>
              <c:numCache>
                <c:formatCode>0%</c:formatCode>
                <c:ptCount val="1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0F-4B53-B977-D5DD5922E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6723072"/>
        <c:axId val="1086725984"/>
      </c:lineChart>
      <c:catAx>
        <c:axId val="10867230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6725984"/>
        <c:crosses val="autoZero"/>
        <c:auto val="1"/>
        <c:lblAlgn val="ctr"/>
        <c:lblOffset val="100"/>
        <c:noMultiLvlLbl val="0"/>
      </c:catAx>
      <c:valAx>
        <c:axId val="10867259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6723072"/>
        <c:crosses val="autoZero"/>
        <c:crossBetween val="between"/>
        <c:majorUnit val="0.0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676910</xdr:colOff>
      <xdr:row>139</xdr:row>
      <xdr:rowOff>105410</xdr:rowOff>
    </xdr:from>
    <xdr:to>
      <xdr:col>9</xdr:col>
      <xdr:colOff>81915</xdr:colOff>
      <xdr:row>149</xdr:row>
      <xdr:rowOff>172720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020435" y="54317900"/>
          <a:ext cx="6158230" cy="1962785"/>
        </a:xfrm>
        <a:prstGeom prst="rect">
          <a:avLst/>
        </a:prstGeom>
        <a:noFill/>
        <a:ln w="19050"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0</xdr:colOff>
      <xdr:row>132</xdr:row>
      <xdr:rowOff>142875</xdr:rowOff>
    </xdr:from>
    <xdr:to>
      <xdr:col>9</xdr:col>
      <xdr:colOff>59531</xdr:colOff>
      <xdr:row>137</xdr:row>
      <xdr:rowOff>119062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343525" y="53028850"/>
          <a:ext cx="6812280" cy="928370"/>
        </a:xfrm>
        <a:prstGeom prst="rect">
          <a:avLst/>
        </a:prstGeom>
        <a:noFill/>
        <a:ln w="19050"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19</xdr:col>
      <xdr:colOff>282466</xdr:colOff>
      <xdr:row>1</xdr:row>
      <xdr:rowOff>47295</xdr:rowOff>
    </xdr:from>
    <xdr:to>
      <xdr:col>35</xdr:col>
      <xdr:colOff>591207</xdr:colOff>
      <xdr:row>15</xdr:row>
      <xdr:rowOff>315309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Y33"/>
  <sheetViews>
    <sheetView showGridLines="0" workbookViewId="0">
      <selection activeCell="B15" sqref="B15:H15"/>
    </sheetView>
  </sheetViews>
  <sheetFormatPr defaultColWidth="9" defaultRowHeight="15"/>
  <cols>
    <col min="1" max="1" width="3.25" style="155" customWidth="1"/>
    <col min="2" max="2" width="41.125" style="155" customWidth="1"/>
    <col min="3" max="6" width="14.5" style="155" customWidth="1"/>
    <col min="7" max="7" width="14.5" style="156" customWidth="1"/>
    <col min="8" max="10" width="14.5" style="155" customWidth="1"/>
    <col min="11" max="257" width="9.125" style="155"/>
    <col min="258" max="258" width="13.375" style="155" customWidth="1"/>
    <col min="259" max="259" width="22.625" style="155" customWidth="1"/>
    <col min="260" max="262" width="21.625" style="155" customWidth="1"/>
    <col min="263" max="263" width="8.375" style="155" customWidth="1"/>
    <col min="264" max="264" width="44.875" style="155" customWidth="1"/>
    <col min="265" max="265" width="15.375" style="155" customWidth="1"/>
    <col min="266" max="513" width="9.125" style="155"/>
    <col min="514" max="514" width="13.375" style="155" customWidth="1"/>
    <col min="515" max="515" width="22.625" style="155" customWidth="1"/>
    <col min="516" max="518" width="21.625" style="155" customWidth="1"/>
    <col min="519" max="519" width="8.375" style="155" customWidth="1"/>
    <col min="520" max="520" width="44.875" style="155" customWidth="1"/>
    <col min="521" max="521" width="15.375" style="155" customWidth="1"/>
    <col min="522" max="769" width="9.125" style="155"/>
    <col min="770" max="770" width="13.375" style="155" customWidth="1"/>
    <col min="771" max="771" width="22.625" style="155" customWidth="1"/>
    <col min="772" max="774" width="21.625" style="155" customWidth="1"/>
    <col min="775" max="775" width="8.375" style="155" customWidth="1"/>
    <col min="776" max="776" width="44.875" style="155" customWidth="1"/>
    <col min="777" max="777" width="15.375" style="155" customWidth="1"/>
    <col min="778" max="1025" width="9.125" style="155"/>
    <col min="1026" max="1026" width="13.375" style="155" customWidth="1"/>
    <col min="1027" max="1027" width="22.625" style="155" customWidth="1"/>
    <col min="1028" max="1030" width="21.625" style="155" customWidth="1"/>
    <col min="1031" max="1031" width="8.375" style="155" customWidth="1"/>
    <col min="1032" max="1032" width="44.875" style="155" customWidth="1"/>
    <col min="1033" max="1033" width="15.375" style="155" customWidth="1"/>
    <col min="1034" max="1281" width="9.125" style="155"/>
    <col min="1282" max="1282" width="13.375" style="155" customWidth="1"/>
    <col min="1283" max="1283" width="22.625" style="155" customWidth="1"/>
    <col min="1284" max="1286" width="21.625" style="155" customWidth="1"/>
    <col min="1287" max="1287" width="8.375" style="155" customWidth="1"/>
    <col min="1288" max="1288" width="44.875" style="155" customWidth="1"/>
    <col min="1289" max="1289" width="15.375" style="155" customWidth="1"/>
    <col min="1290" max="1537" width="9.125" style="155"/>
    <col min="1538" max="1538" width="13.375" style="155" customWidth="1"/>
    <col min="1539" max="1539" width="22.625" style="155" customWidth="1"/>
    <col min="1540" max="1542" width="21.625" style="155" customWidth="1"/>
    <col min="1543" max="1543" width="8.375" style="155" customWidth="1"/>
    <col min="1544" max="1544" width="44.875" style="155" customWidth="1"/>
    <col min="1545" max="1545" width="15.375" style="155" customWidth="1"/>
    <col min="1546" max="1793" width="9.125" style="155"/>
    <col min="1794" max="1794" width="13.375" style="155" customWidth="1"/>
    <col min="1795" max="1795" width="22.625" style="155" customWidth="1"/>
    <col min="1796" max="1798" width="21.625" style="155" customWidth="1"/>
    <col min="1799" max="1799" width="8.375" style="155" customWidth="1"/>
    <col min="1800" max="1800" width="44.875" style="155" customWidth="1"/>
    <col min="1801" max="1801" width="15.375" style="155" customWidth="1"/>
    <col min="1802" max="2049" width="9.125" style="155"/>
    <col min="2050" max="2050" width="13.375" style="155" customWidth="1"/>
    <col min="2051" max="2051" width="22.625" style="155" customWidth="1"/>
    <col min="2052" max="2054" width="21.625" style="155" customWidth="1"/>
    <col min="2055" max="2055" width="8.375" style="155" customWidth="1"/>
    <col min="2056" max="2056" width="44.875" style="155" customWidth="1"/>
    <col min="2057" max="2057" width="15.375" style="155" customWidth="1"/>
    <col min="2058" max="2305" width="9.125" style="155"/>
    <col min="2306" max="2306" width="13.375" style="155" customWidth="1"/>
    <col min="2307" max="2307" width="22.625" style="155" customWidth="1"/>
    <col min="2308" max="2310" width="21.625" style="155" customWidth="1"/>
    <col min="2311" max="2311" width="8.375" style="155" customWidth="1"/>
    <col min="2312" max="2312" width="44.875" style="155" customWidth="1"/>
    <col min="2313" max="2313" width="15.375" style="155" customWidth="1"/>
    <col min="2314" max="2561" width="9.125" style="155"/>
    <col min="2562" max="2562" width="13.375" style="155" customWidth="1"/>
    <col min="2563" max="2563" width="22.625" style="155" customWidth="1"/>
    <col min="2564" max="2566" width="21.625" style="155" customWidth="1"/>
    <col min="2567" max="2567" width="8.375" style="155" customWidth="1"/>
    <col min="2568" max="2568" width="44.875" style="155" customWidth="1"/>
    <col min="2569" max="2569" width="15.375" style="155" customWidth="1"/>
    <col min="2570" max="2817" width="9.125" style="155"/>
    <col min="2818" max="2818" width="13.375" style="155" customWidth="1"/>
    <col min="2819" max="2819" width="22.625" style="155" customWidth="1"/>
    <col min="2820" max="2822" width="21.625" style="155" customWidth="1"/>
    <col min="2823" max="2823" width="8.375" style="155" customWidth="1"/>
    <col min="2824" max="2824" width="44.875" style="155" customWidth="1"/>
    <col min="2825" max="2825" width="15.375" style="155" customWidth="1"/>
    <col min="2826" max="3073" width="9.125" style="155"/>
    <col min="3074" max="3074" width="13.375" style="155" customWidth="1"/>
    <col min="3075" max="3075" width="22.625" style="155" customWidth="1"/>
    <col min="3076" max="3078" width="21.625" style="155" customWidth="1"/>
    <col min="3079" max="3079" width="8.375" style="155" customWidth="1"/>
    <col min="3080" max="3080" width="44.875" style="155" customWidth="1"/>
    <col min="3081" max="3081" width="15.375" style="155" customWidth="1"/>
    <col min="3082" max="3329" width="9.125" style="155"/>
    <col min="3330" max="3330" width="13.375" style="155" customWidth="1"/>
    <col min="3331" max="3331" width="22.625" style="155" customWidth="1"/>
    <col min="3332" max="3334" width="21.625" style="155" customWidth="1"/>
    <col min="3335" max="3335" width="8.375" style="155" customWidth="1"/>
    <col min="3336" max="3336" width="44.875" style="155" customWidth="1"/>
    <col min="3337" max="3337" width="15.375" style="155" customWidth="1"/>
    <col min="3338" max="3585" width="9.125" style="155"/>
    <col min="3586" max="3586" width="13.375" style="155" customWidth="1"/>
    <col min="3587" max="3587" width="22.625" style="155" customWidth="1"/>
    <col min="3588" max="3590" width="21.625" style="155" customWidth="1"/>
    <col min="3591" max="3591" width="8.375" style="155" customWidth="1"/>
    <col min="3592" max="3592" width="44.875" style="155" customWidth="1"/>
    <col min="3593" max="3593" width="15.375" style="155" customWidth="1"/>
    <col min="3594" max="3841" width="9.125" style="155"/>
    <col min="3842" max="3842" width="13.375" style="155" customWidth="1"/>
    <col min="3843" max="3843" width="22.625" style="155" customWidth="1"/>
    <col min="3844" max="3846" width="21.625" style="155" customWidth="1"/>
    <col min="3847" max="3847" width="8.375" style="155" customWidth="1"/>
    <col min="3848" max="3848" width="44.875" style="155" customWidth="1"/>
    <col min="3849" max="3849" width="15.375" style="155" customWidth="1"/>
    <col min="3850" max="4097" width="9.125" style="155"/>
    <col min="4098" max="4098" width="13.375" style="155" customWidth="1"/>
    <col min="4099" max="4099" width="22.625" style="155" customWidth="1"/>
    <col min="4100" max="4102" width="21.625" style="155" customWidth="1"/>
    <col min="4103" max="4103" width="8.375" style="155" customWidth="1"/>
    <col min="4104" max="4104" width="44.875" style="155" customWidth="1"/>
    <col min="4105" max="4105" width="15.375" style="155" customWidth="1"/>
    <col min="4106" max="4353" width="9.125" style="155"/>
    <col min="4354" max="4354" width="13.375" style="155" customWidth="1"/>
    <col min="4355" max="4355" width="22.625" style="155" customWidth="1"/>
    <col min="4356" max="4358" width="21.625" style="155" customWidth="1"/>
    <col min="4359" max="4359" width="8.375" style="155" customWidth="1"/>
    <col min="4360" max="4360" width="44.875" style="155" customWidth="1"/>
    <col min="4361" max="4361" width="15.375" style="155" customWidth="1"/>
    <col min="4362" max="4609" width="9.125" style="155"/>
    <col min="4610" max="4610" width="13.375" style="155" customWidth="1"/>
    <col min="4611" max="4611" width="22.625" style="155" customWidth="1"/>
    <col min="4612" max="4614" width="21.625" style="155" customWidth="1"/>
    <col min="4615" max="4615" width="8.375" style="155" customWidth="1"/>
    <col min="4616" max="4616" width="44.875" style="155" customWidth="1"/>
    <col min="4617" max="4617" width="15.375" style="155" customWidth="1"/>
    <col min="4618" max="4865" width="9.125" style="155"/>
    <col min="4866" max="4866" width="13.375" style="155" customWidth="1"/>
    <col min="4867" max="4867" width="22.625" style="155" customWidth="1"/>
    <col min="4868" max="4870" width="21.625" style="155" customWidth="1"/>
    <col min="4871" max="4871" width="8.375" style="155" customWidth="1"/>
    <col min="4872" max="4872" width="44.875" style="155" customWidth="1"/>
    <col min="4873" max="4873" width="15.375" style="155" customWidth="1"/>
    <col min="4874" max="5121" width="9.125" style="155"/>
    <col min="5122" max="5122" width="13.375" style="155" customWidth="1"/>
    <col min="5123" max="5123" width="22.625" style="155" customWidth="1"/>
    <col min="5124" max="5126" width="21.625" style="155" customWidth="1"/>
    <col min="5127" max="5127" width="8.375" style="155" customWidth="1"/>
    <col min="5128" max="5128" width="44.875" style="155" customWidth="1"/>
    <col min="5129" max="5129" width="15.375" style="155" customWidth="1"/>
    <col min="5130" max="5377" width="9.125" style="155"/>
    <col min="5378" max="5378" width="13.375" style="155" customWidth="1"/>
    <col min="5379" max="5379" width="22.625" style="155" customWidth="1"/>
    <col min="5380" max="5382" width="21.625" style="155" customWidth="1"/>
    <col min="5383" max="5383" width="8.375" style="155" customWidth="1"/>
    <col min="5384" max="5384" width="44.875" style="155" customWidth="1"/>
    <col min="5385" max="5385" width="15.375" style="155" customWidth="1"/>
    <col min="5386" max="5633" width="9.125" style="155"/>
    <col min="5634" max="5634" width="13.375" style="155" customWidth="1"/>
    <col min="5635" max="5635" width="22.625" style="155" customWidth="1"/>
    <col min="5636" max="5638" width="21.625" style="155" customWidth="1"/>
    <col min="5639" max="5639" width="8.375" style="155" customWidth="1"/>
    <col min="5640" max="5640" width="44.875" style="155" customWidth="1"/>
    <col min="5641" max="5641" width="15.375" style="155" customWidth="1"/>
    <col min="5642" max="5889" width="9.125" style="155"/>
    <col min="5890" max="5890" width="13.375" style="155" customWidth="1"/>
    <col min="5891" max="5891" width="22.625" style="155" customWidth="1"/>
    <col min="5892" max="5894" width="21.625" style="155" customWidth="1"/>
    <col min="5895" max="5895" width="8.375" style="155" customWidth="1"/>
    <col min="5896" max="5896" width="44.875" style="155" customWidth="1"/>
    <col min="5897" max="5897" width="15.375" style="155" customWidth="1"/>
    <col min="5898" max="6145" width="9.125" style="155"/>
    <col min="6146" max="6146" width="13.375" style="155" customWidth="1"/>
    <col min="6147" max="6147" width="22.625" style="155" customWidth="1"/>
    <col min="6148" max="6150" width="21.625" style="155" customWidth="1"/>
    <col min="6151" max="6151" width="8.375" style="155" customWidth="1"/>
    <col min="6152" max="6152" width="44.875" style="155" customWidth="1"/>
    <col min="6153" max="6153" width="15.375" style="155" customWidth="1"/>
    <col min="6154" max="6401" width="9.125" style="155"/>
    <col min="6402" max="6402" width="13.375" style="155" customWidth="1"/>
    <col min="6403" max="6403" width="22.625" style="155" customWidth="1"/>
    <col min="6404" max="6406" width="21.625" style="155" customWidth="1"/>
    <col min="6407" max="6407" width="8.375" style="155" customWidth="1"/>
    <col min="6408" max="6408" width="44.875" style="155" customWidth="1"/>
    <col min="6409" max="6409" width="15.375" style="155" customWidth="1"/>
    <col min="6410" max="6657" width="9.125" style="155"/>
    <col min="6658" max="6658" width="13.375" style="155" customWidth="1"/>
    <col min="6659" max="6659" width="22.625" style="155" customWidth="1"/>
    <col min="6660" max="6662" width="21.625" style="155" customWidth="1"/>
    <col min="6663" max="6663" width="8.375" style="155" customWidth="1"/>
    <col min="6664" max="6664" width="44.875" style="155" customWidth="1"/>
    <col min="6665" max="6665" width="15.375" style="155" customWidth="1"/>
    <col min="6666" max="6913" width="9.125" style="155"/>
    <col min="6914" max="6914" width="13.375" style="155" customWidth="1"/>
    <col min="6915" max="6915" width="22.625" style="155" customWidth="1"/>
    <col min="6916" max="6918" width="21.625" style="155" customWidth="1"/>
    <col min="6919" max="6919" width="8.375" style="155" customWidth="1"/>
    <col min="6920" max="6920" width="44.875" style="155" customWidth="1"/>
    <col min="6921" max="6921" width="15.375" style="155" customWidth="1"/>
    <col min="6922" max="7169" width="9.125" style="155"/>
    <col min="7170" max="7170" width="13.375" style="155" customWidth="1"/>
    <col min="7171" max="7171" width="22.625" style="155" customWidth="1"/>
    <col min="7172" max="7174" width="21.625" style="155" customWidth="1"/>
    <col min="7175" max="7175" width="8.375" style="155" customWidth="1"/>
    <col min="7176" max="7176" width="44.875" style="155" customWidth="1"/>
    <col min="7177" max="7177" width="15.375" style="155" customWidth="1"/>
    <col min="7178" max="7425" width="9.125" style="155"/>
    <col min="7426" max="7426" width="13.375" style="155" customWidth="1"/>
    <col min="7427" max="7427" width="22.625" style="155" customWidth="1"/>
    <col min="7428" max="7430" width="21.625" style="155" customWidth="1"/>
    <col min="7431" max="7431" width="8.375" style="155" customWidth="1"/>
    <col min="7432" max="7432" width="44.875" style="155" customWidth="1"/>
    <col min="7433" max="7433" width="15.375" style="155" customWidth="1"/>
    <col min="7434" max="7681" width="9.125" style="155"/>
    <col min="7682" max="7682" width="13.375" style="155" customWidth="1"/>
    <col min="7683" max="7683" width="22.625" style="155" customWidth="1"/>
    <col min="7684" max="7686" width="21.625" style="155" customWidth="1"/>
    <col min="7687" max="7687" width="8.375" style="155" customWidth="1"/>
    <col min="7688" max="7688" width="44.875" style="155" customWidth="1"/>
    <col min="7689" max="7689" width="15.375" style="155" customWidth="1"/>
    <col min="7690" max="7937" width="9.125" style="155"/>
    <col min="7938" max="7938" width="13.375" style="155" customWidth="1"/>
    <col min="7939" max="7939" width="22.625" style="155" customWidth="1"/>
    <col min="7940" max="7942" width="21.625" style="155" customWidth="1"/>
    <col min="7943" max="7943" width="8.375" style="155" customWidth="1"/>
    <col min="7944" max="7944" width="44.875" style="155" customWidth="1"/>
    <col min="7945" max="7945" width="15.375" style="155" customWidth="1"/>
    <col min="7946" max="8193" width="9.125" style="155"/>
    <col min="8194" max="8194" width="13.375" style="155" customWidth="1"/>
    <col min="8195" max="8195" width="22.625" style="155" customWidth="1"/>
    <col min="8196" max="8198" width="21.625" style="155" customWidth="1"/>
    <col min="8199" max="8199" width="8.375" style="155" customWidth="1"/>
    <col min="8200" max="8200" width="44.875" style="155" customWidth="1"/>
    <col min="8201" max="8201" width="15.375" style="155" customWidth="1"/>
    <col min="8202" max="8449" width="9.125" style="155"/>
    <col min="8450" max="8450" width="13.375" style="155" customWidth="1"/>
    <col min="8451" max="8451" width="22.625" style="155" customWidth="1"/>
    <col min="8452" max="8454" width="21.625" style="155" customWidth="1"/>
    <col min="8455" max="8455" width="8.375" style="155" customWidth="1"/>
    <col min="8456" max="8456" width="44.875" style="155" customWidth="1"/>
    <col min="8457" max="8457" width="15.375" style="155" customWidth="1"/>
    <col min="8458" max="8705" width="9.125" style="155"/>
    <col min="8706" max="8706" width="13.375" style="155" customWidth="1"/>
    <col min="8707" max="8707" width="22.625" style="155" customWidth="1"/>
    <col min="8708" max="8710" width="21.625" style="155" customWidth="1"/>
    <col min="8711" max="8711" width="8.375" style="155" customWidth="1"/>
    <col min="8712" max="8712" width="44.875" style="155" customWidth="1"/>
    <col min="8713" max="8713" width="15.375" style="155" customWidth="1"/>
    <col min="8714" max="8961" width="9.125" style="155"/>
    <col min="8962" max="8962" width="13.375" style="155" customWidth="1"/>
    <col min="8963" max="8963" width="22.625" style="155" customWidth="1"/>
    <col min="8964" max="8966" width="21.625" style="155" customWidth="1"/>
    <col min="8967" max="8967" width="8.375" style="155" customWidth="1"/>
    <col min="8968" max="8968" width="44.875" style="155" customWidth="1"/>
    <col min="8969" max="8969" width="15.375" style="155" customWidth="1"/>
    <col min="8970" max="9217" width="9.125" style="155"/>
    <col min="9218" max="9218" width="13.375" style="155" customWidth="1"/>
    <col min="9219" max="9219" width="22.625" style="155" customWidth="1"/>
    <col min="9220" max="9222" width="21.625" style="155" customWidth="1"/>
    <col min="9223" max="9223" width="8.375" style="155" customWidth="1"/>
    <col min="9224" max="9224" width="44.875" style="155" customWidth="1"/>
    <col min="9225" max="9225" width="15.375" style="155" customWidth="1"/>
    <col min="9226" max="9473" width="9.125" style="155"/>
    <col min="9474" max="9474" width="13.375" style="155" customWidth="1"/>
    <col min="9475" max="9475" width="22.625" style="155" customWidth="1"/>
    <col min="9476" max="9478" width="21.625" style="155" customWidth="1"/>
    <col min="9479" max="9479" width="8.375" style="155" customWidth="1"/>
    <col min="9480" max="9480" width="44.875" style="155" customWidth="1"/>
    <col min="9481" max="9481" width="15.375" style="155" customWidth="1"/>
    <col min="9482" max="9729" width="9.125" style="155"/>
    <col min="9730" max="9730" width="13.375" style="155" customWidth="1"/>
    <col min="9731" max="9731" width="22.625" style="155" customWidth="1"/>
    <col min="9732" max="9734" width="21.625" style="155" customWidth="1"/>
    <col min="9735" max="9735" width="8.375" style="155" customWidth="1"/>
    <col min="9736" max="9736" width="44.875" style="155" customWidth="1"/>
    <col min="9737" max="9737" width="15.375" style="155" customWidth="1"/>
    <col min="9738" max="9985" width="9.125" style="155"/>
    <col min="9986" max="9986" width="13.375" style="155" customWidth="1"/>
    <col min="9987" max="9987" width="22.625" style="155" customWidth="1"/>
    <col min="9988" max="9990" width="21.625" style="155" customWidth="1"/>
    <col min="9991" max="9991" width="8.375" style="155" customWidth="1"/>
    <col min="9992" max="9992" width="44.875" style="155" customWidth="1"/>
    <col min="9993" max="9993" width="15.375" style="155" customWidth="1"/>
    <col min="9994" max="10241" width="9.125" style="155"/>
    <col min="10242" max="10242" width="13.375" style="155" customWidth="1"/>
    <col min="10243" max="10243" width="22.625" style="155" customWidth="1"/>
    <col min="10244" max="10246" width="21.625" style="155" customWidth="1"/>
    <col min="10247" max="10247" width="8.375" style="155" customWidth="1"/>
    <col min="10248" max="10248" width="44.875" style="155" customWidth="1"/>
    <col min="10249" max="10249" width="15.375" style="155" customWidth="1"/>
    <col min="10250" max="10497" width="9.125" style="155"/>
    <col min="10498" max="10498" width="13.375" style="155" customWidth="1"/>
    <col min="10499" max="10499" width="22.625" style="155" customWidth="1"/>
    <col min="10500" max="10502" width="21.625" style="155" customWidth="1"/>
    <col min="10503" max="10503" width="8.375" style="155" customWidth="1"/>
    <col min="10504" max="10504" width="44.875" style="155" customWidth="1"/>
    <col min="10505" max="10505" width="15.375" style="155" customWidth="1"/>
    <col min="10506" max="10753" width="9.125" style="155"/>
    <col min="10754" max="10754" width="13.375" style="155" customWidth="1"/>
    <col min="10755" max="10755" width="22.625" style="155" customWidth="1"/>
    <col min="10756" max="10758" width="21.625" style="155" customWidth="1"/>
    <col min="10759" max="10759" width="8.375" style="155" customWidth="1"/>
    <col min="10760" max="10760" width="44.875" style="155" customWidth="1"/>
    <col min="10761" max="10761" width="15.375" style="155" customWidth="1"/>
    <col min="10762" max="11009" width="9.125" style="155"/>
    <col min="11010" max="11010" width="13.375" style="155" customWidth="1"/>
    <col min="11011" max="11011" width="22.625" style="155" customWidth="1"/>
    <col min="11012" max="11014" width="21.625" style="155" customWidth="1"/>
    <col min="11015" max="11015" width="8.375" style="155" customWidth="1"/>
    <col min="11016" max="11016" width="44.875" style="155" customWidth="1"/>
    <col min="11017" max="11017" width="15.375" style="155" customWidth="1"/>
    <col min="11018" max="11265" width="9.125" style="155"/>
    <col min="11266" max="11266" width="13.375" style="155" customWidth="1"/>
    <col min="11267" max="11267" width="22.625" style="155" customWidth="1"/>
    <col min="11268" max="11270" width="21.625" style="155" customWidth="1"/>
    <col min="11271" max="11271" width="8.375" style="155" customWidth="1"/>
    <col min="11272" max="11272" width="44.875" style="155" customWidth="1"/>
    <col min="11273" max="11273" width="15.375" style="155" customWidth="1"/>
    <col min="11274" max="11521" width="9.125" style="155"/>
    <col min="11522" max="11522" width="13.375" style="155" customWidth="1"/>
    <col min="11523" max="11523" width="22.625" style="155" customWidth="1"/>
    <col min="11524" max="11526" width="21.625" style="155" customWidth="1"/>
    <col min="11527" max="11527" width="8.375" style="155" customWidth="1"/>
    <col min="11528" max="11528" width="44.875" style="155" customWidth="1"/>
    <col min="11529" max="11529" width="15.375" style="155" customWidth="1"/>
    <col min="11530" max="11777" width="9.125" style="155"/>
    <col min="11778" max="11778" width="13.375" style="155" customWidth="1"/>
    <col min="11779" max="11779" width="22.625" style="155" customWidth="1"/>
    <col min="11780" max="11782" width="21.625" style="155" customWidth="1"/>
    <col min="11783" max="11783" width="8.375" style="155" customWidth="1"/>
    <col min="11784" max="11784" width="44.875" style="155" customWidth="1"/>
    <col min="11785" max="11785" width="15.375" style="155" customWidth="1"/>
    <col min="11786" max="12033" width="9.125" style="155"/>
    <col min="12034" max="12034" width="13.375" style="155" customWidth="1"/>
    <col min="12035" max="12035" width="22.625" style="155" customWidth="1"/>
    <col min="12036" max="12038" width="21.625" style="155" customWidth="1"/>
    <col min="12039" max="12039" width="8.375" style="155" customWidth="1"/>
    <col min="12040" max="12040" width="44.875" style="155" customWidth="1"/>
    <col min="12041" max="12041" width="15.375" style="155" customWidth="1"/>
    <col min="12042" max="12289" width="9.125" style="155"/>
    <col min="12290" max="12290" width="13.375" style="155" customWidth="1"/>
    <col min="12291" max="12291" width="22.625" style="155" customWidth="1"/>
    <col min="12292" max="12294" width="21.625" style="155" customWidth="1"/>
    <col min="12295" max="12295" width="8.375" style="155" customWidth="1"/>
    <col min="12296" max="12296" width="44.875" style="155" customWidth="1"/>
    <col min="12297" max="12297" width="15.375" style="155" customWidth="1"/>
    <col min="12298" max="12545" width="9.125" style="155"/>
    <col min="12546" max="12546" width="13.375" style="155" customWidth="1"/>
    <col min="12547" max="12547" width="22.625" style="155" customWidth="1"/>
    <col min="12548" max="12550" width="21.625" style="155" customWidth="1"/>
    <col min="12551" max="12551" width="8.375" style="155" customWidth="1"/>
    <col min="12552" max="12552" width="44.875" style="155" customWidth="1"/>
    <col min="12553" max="12553" width="15.375" style="155" customWidth="1"/>
    <col min="12554" max="12801" width="9.125" style="155"/>
    <col min="12802" max="12802" width="13.375" style="155" customWidth="1"/>
    <col min="12803" max="12803" width="22.625" style="155" customWidth="1"/>
    <col min="12804" max="12806" width="21.625" style="155" customWidth="1"/>
    <col min="12807" max="12807" width="8.375" style="155" customWidth="1"/>
    <col min="12808" max="12808" width="44.875" style="155" customWidth="1"/>
    <col min="12809" max="12809" width="15.375" style="155" customWidth="1"/>
    <col min="12810" max="13057" width="9.125" style="155"/>
    <col min="13058" max="13058" width="13.375" style="155" customWidth="1"/>
    <col min="13059" max="13059" width="22.625" style="155" customWidth="1"/>
    <col min="13060" max="13062" width="21.625" style="155" customWidth="1"/>
    <col min="13063" max="13063" width="8.375" style="155" customWidth="1"/>
    <col min="13064" max="13064" width="44.875" style="155" customWidth="1"/>
    <col min="13065" max="13065" width="15.375" style="155" customWidth="1"/>
    <col min="13066" max="13313" width="9.125" style="155"/>
    <col min="13314" max="13314" width="13.375" style="155" customWidth="1"/>
    <col min="13315" max="13315" width="22.625" style="155" customWidth="1"/>
    <col min="13316" max="13318" width="21.625" style="155" customWidth="1"/>
    <col min="13319" max="13319" width="8.375" style="155" customWidth="1"/>
    <col min="13320" max="13320" width="44.875" style="155" customWidth="1"/>
    <col min="13321" max="13321" width="15.375" style="155" customWidth="1"/>
    <col min="13322" max="13569" width="9.125" style="155"/>
    <col min="13570" max="13570" width="13.375" style="155" customWidth="1"/>
    <col min="13571" max="13571" width="22.625" style="155" customWidth="1"/>
    <col min="13572" max="13574" width="21.625" style="155" customWidth="1"/>
    <col min="13575" max="13575" width="8.375" style="155" customWidth="1"/>
    <col min="13576" max="13576" width="44.875" style="155" customWidth="1"/>
    <col min="13577" max="13577" width="15.375" style="155" customWidth="1"/>
    <col min="13578" max="13825" width="9.125" style="155"/>
    <col min="13826" max="13826" width="13.375" style="155" customWidth="1"/>
    <col min="13827" max="13827" width="22.625" style="155" customWidth="1"/>
    <col min="13828" max="13830" width="21.625" style="155" customWidth="1"/>
    <col min="13831" max="13831" width="8.375" style="155" customWidth="1"/>
    <col min="13832" max="13832" width="44.875" style="155" customWidth="1"/>
    <col min="13833" max="13833" width="15.375" style="155" customWidth="1"/>
    <col min="13834" max="14081" width="9.125" style="155"/>
    <col min="14082" max="14082" width="13.375" style="155" customWidth="1"/>
    <col min="14083" max="14083" width="22.625" style="155" customWidth="1"/>
    <col min="14084" max="14086" width="21.625" style="155" customWidth="1"/>
    <col min="14087" max="14087" width="8.375" style="155" customWidth="1"/>
    <col min="14088" max="14088" width="44.875" style="155" customWidth="1"/>
    <col min="14089" max="14089" width="15.375" style="155" customWidth="1"/>
    <col min="14090" max="14337" width="9.125" style="155"/>
    <col min="14338" max="14338" width="13.375" style="155" customWidth="1"/>
    <col min="14339" max="14339" width="22.625" style="155" customWidth="1"/>
    <col min="14340" max="14342" width="21.625" style="155" customWidth="1"/>
    <col min="14343" max="14343" width="8.375" style="155" customWidth="1"/>
    <col min="14344" max="14344" width="44.875" style="155" customWidth="1"/>
    <col min="14345" max="14345" width="15.375" style="155" customWidth="1"/>
    <col min="14346" max="14593" width="9.125" style="155"/>
    <col min="14594" max="14594" width="13.375" style="155" customWidth="1"/>
    <col min="14595" max="14595" width="22.625" style="155" customWidth="1"/>
    <col min="14596" max="14598" width="21.625" style="155" customWidth="1"/>
    <col min="14599" max="14599" width="8.375" style="155" customWidth="1"/>
    <col min="14600" max="14600" width="44.875" style="155" customWidth="1"/>
    <col min="14601" max="14601" width="15.375" style="155" customWidth="1"/>
    <col min="14602" max="14849" width="9.125" style="155"/>
    <col min="14850" max="14850" width="13.375" style="155" customWidth="1"/>
    <col min="14851" max="14851" width="22.625" style="155" customWidth="1"/>
    <col min="14852" max="14854" width="21.625" style="155" customWidth="1"/>
    <col min="14855" max="14855" width="8.375" style="155" customWidth="1"/>
    <col min="14856" max="14856" width="44.875" style="155" customWidth="1"/>
    <col min="14857" max="14857" width="15.375" style="155" customWidth="1"/>
    <col min="14858" max="15105" width="9.125" style="155"/>
    <col min="15106" max="15106" width="13.375" style="155" customWidth="1"/>
    <col min="15107" max="15107" width="22.625" style="155" customWidth="1"/>
    <col min="15108" max="15110" width="21.625" style="155" customWidth="1"/>
    <col min="15111" max="15111" width="8.375" style="155" customWidth="1"/>
    <col min="15112" max="15112" width="44.875" style="155" customWidth="1"/>
    <col min="15113" max="15113" width="15.375" style="155" customWidth="1"/>
    <col min="15114" max="15361" width="9.125" style="155"/>
    <col min="15362" max="15362" width="13.375" style="155" customWidth="1"/>
    <col min="15363" max="15363" width="22.625" style="155" customWidth="1"/>
    <col min="15364" max="15366" width="21.625" style="155" customWidth="1"/>
    <col min="15367" max="15367" width="8.375" style="155" customWidth="1"/>
    <col min="15368" max="15368" width="44.875" style="155" customWidth="1"/>
    <col min="15369" max="15369" width="15.375" style="155" customWidth="1"/>
    <col min="15370" max="15617" width="9.125" style="155"/>
    <col min="15618" max="15618" width="13.375" style="155" customWidth="1"/>
    <col min="15619" max="15619" width="22.625" style="155" customWidth="1"/>
    <col min="15620" max="15622" width="21.625" style="155" customWidth="1"/>
    <col min="15623" max="15623" width="8.375" style="155" customWidth="1"/>
    <col min="15624" max="15624" width="44.875" style="155" customWidth="1"/>
    <col min="15625" max="15625" width="15.375" style="155" customWidth="1"/>
    <col min="15626" max="15873" width="9.125" style="155"/>
    <col min="15874" max="15874" width="13.375" style="155" customWidth="1"/>
    <col min="15875" max="15875" width="22.625" style="155" customWidth="1"/>
    <col min="15876" max="15878" width="21.625" style="155" customWidth="1"/>
    <col min="15879" max="15879" width="8.375" style="155" customWidth="1"/>
    <col min="15880" max="15880" width="44.875" style="155" customWidth="1"/>
    <col min="15881" max="15881" width="15.375" style="155" customWidth="1"/>
    <col min="15882" max="16129" width="9.125" style="155"/>
    <col min="16130" max="16130" width="13.375" style="155" customWidth="1"/>
    <col min="16131" max="16131" width="22.625" style="155" customWidth="1"/>
    <col min="16132" max="16134" width="21.625" style="155" customWidth="1"/>
    <col min="16135" max="16135" width="8.375" style="155" customWidth="1"/>
    <col min="16136" max="16136" width="44.875" style="155" customWidth="1"/>
    <col min="16137" max="16137" width="15.375" style="155" customWidth="1"/>
    <col min="16138" max="16384" width="9.125" style="155"/>
  </cols>
  <sheetData>
    <row r="1" spans="1:25">
      <c r="A1" s="157"/>
      <c r="B1" s="157"/>
      <c r="C1" s="157"/>
      <c r="D1" s="157"/>
      <c r="E1" s="157"/>
      <c r="F1" s="157"/>
      <c r="G1" s="158"/>
      <c r="H1" s="159"/>
    </row>
    <row r="2" spans="1:25" ht="18.75" customHeight="1">
      <c r="A2" s="157"/>
      <c r="B2" s="197" t="s">
        <v>0</v>
      </c>
      <c r="C2" s="198"/>
      <c r="D2" s="198"/>
      <c r="E2" s="198"/>
      <c r="F2" s="198"/>
      <c r="G2" s="198"/>
      <c r="H2" s="199"/>
      <c r="I2" s="184"/>
    </row>
    <row r="3" spans="1:25">
      <c r="A3" s="157"/>
      <c r="B3" s="160" t="s">
        <v>1</v>
      </c>
      <c r="C3" s="200"/>
      <c r="D3" s="200"/>
      <c r="E3" s="200"/>
      <c r="F3" s="200"/>
      <c r="G3" s="200"/>
      <c r="H3" s="201"/>
      <c r="I3" s="184"/>
    </row>
    <row r="4" spans="1:25">
      <c r="A4" s="157"/>
      <c r="B4" s="160" t="s">
        <v>2</v>
      </c>
      <c r="C4" s="200"/>
      <c r="D4" s="200"/>
      <c r="E4" s="200"/>
      <c r="F4" s="200"/>
      <c r="G4" s="200"/>
      <c r="H4" s="201"/>
      <c r="I4" s="184"/>
    </row>
    <row r="5" spans="1:25">
      <c r="A5" s="157"/>
      <c r="B5" s="160" t="s">
        <v>3</v>
      </c>
      <c r="C5" s="200"/>
      <c r="D5" s="200"/>
      <c r="E5" s="200"/>
      <c r="F5" s="200"/>
      <c r="G5" s="200"/>
      <c r="H5" s="201"/>
      <c r="I5" s="184"/>
    </row>
    <row r="6" spans="1:25">
      <c r="A6" s="157"/>
      <c r="B6" s="160" t="s">
        <v>4</v>
      </c>
      <c r="C6" s="189"/>
      <c r="D6" s="189"/>
      <c r="E6" s="189"/>
      <c r="F6" s="189"/>
      <c r="G6" s="189"/>
      <c r="H6" s="190"/>
      <c r="I6" s="184"/>
    </row>
    <row r="7" spans="1:25">
      <c r="A7" s="157"/>
      <c r="B7" s="160" t="s">
        <v>5</v>
      </c>
      <c r="C7" s="189"/>
      <c r="D7" s="189"/>
      <c r="E7" s="189"/>
      <c r="F7" s="189"/>
      <c r="G7" s="189"/>
      <c r="H7" s="190"/>
      <c r="I7" s="184"/>
    </row>
    <row r="8" spans="1:25" ht="18.75">
      <c r="A8" s="157"/>
      <c r="B8" s="191" t="s">
        <v>6</v>
      </c>
      <c r="C8" s="192"/>
      <c r="D8" s="192"/>
      <c r="E8" s="192"/>
      <c r="F8" s="192"/>
      <c r="G8" s="192"/>
      <c r="H8" s="193"/>
      <c r="I8" s="184"/>
    </row>
    <row r="9" spans="1:25" ht="30">
      <c r="A9" s="157"/>
      <c r="B9" s="161" t="s">
        <v>7</v>
      </c>
      <c r="C9" s="162" t="s">
        <v>8</v>
      </c>
      <c r="D9" s="162" t="s">
        <v>9</v>
      </c>
      <c r="E9" s="162" t="s">
        <v>10</v>
      </c>
      <c r="F9" s="162" t="s">
        <v>11</v>
      </c>
      <c r="G9" s="162" t="s">
        <v>12</v>
      </c>
      <c r="H9" s="163" t="s">
        <v>13</v>
      </c>
      <c r="I9" s="184"/>
    </row>
    <row r="10" spans="1:25" ht="18" customHeight="1">
      <c r="A10" s="157"/>
      <c r="B10" s="164" t="str">
        <f>'Scenario(Phone)'!G2</f>
        <v>XXX _AOSP</v>
      </c>
      <c r="C10" s="165"/>
      <c r="D10" s="166"/>
      <c r="E10" s="166"/>
      <c r="F10" s="167"/>
      <c r="G10" s="168"/>
      <c r="H10" s="169"/>
      <c r="I10" s="184"/>
    </row>
    <row r="11" spans="1:25" ht="18" customHeight="1">
      <c r="A11" s="157"/>
      <c r="B11" s="164" t="str">
        <f>'Scenario(Phone)'!H2</f>
        <v>XXX _HMD</v>
      </c>
      <c r="C11" s="165"/>
      <c r="D11" s="166"/>
      <c r="E11" s="166"/>
      <c r="F11" s="167"/>
      <c r="G11" s="168"/>
      <c r="H11" s="169"/>
      <c r="I11" s="184"/>
    </row>
    <row r="12" spans="1:25" ht="18" customHeight="1">
      <c r="A12" s="157"/>
      <c r="B12" s="170" t="str">
        <f>'Scenario(Phone)'!I2</f>
        <v>Reference device</v>
      </c>
      <c r="C12" s="171"/>
      <c r="D12" s="172"/>
      <c r="E12" s="172"/>
      <c r="F12" s="173"/>
      <c r="G12" s="174"/>
      <c r="H12" s="169"/>
      <c r="I12" s="184"/>
    </row>
    <row r="13" spans="1:25" s="153" customFormat="1">
      <c r="A13" s="175"/>
      <c r="B13" s="176"/>
      <c r="C13" s="176"/>
      <c r="D13" s="176"/>
      <c r="E13" s="176"/>
      <c r="F13" s="176"/>
      <c r="G13" s="176"/>
      <c r="H13" s="176"/>
      <c r="I13" s="185"/>
      <c r="J13" s="185"/>
      <c r="K13" s="185"/>
      <c r="L13" s="185"/>
      <c r="M13" s="185"/>
    </row>
    <row r="14" spans="1:25" s="154" customFormat="1" ht="18" customHeight="1">
      <c r="A14" s="177"/>
      <c r="B14" s="178" t="s">
        <v>14</v>
      </c>
      <c r="C14" s="178"/>
      <c r="D14" s="178"/>
      <c r="E14" s="178"/>
      <c r="F14" s="178"/>
      <c r="G14" s="178"/>
      <c r="H14" s="178"/>
      <c r="I14" s="186"/>
      <c r="J14" s="186"/>
      <c r="K14" s="186"/>
      <c r="L14" s="186"/>
      <c r="M14" s="186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</row>
    <row r="15" spans="1:25" ht="408.95" customHeight="1">
      <c r="A15" s="179"/>
      <c r="B15" s="194" t="s">
        <v>15</v>
      </c>
      <c r="C15" s="195"/>
      <c r="D15" s="195"/>
      <c r="E15" s="195"/>
      <c r="F15" s="195"/>
      <c r="G15" s="195"/>
      <c r="H15" s="196"/>
      <c r="I15" s="184"/>
    </row>
    <row r="16" spans="1:25">
      <c r="B16" s="180"/>
      <c r="C16" s="180"/>
      <c r="D16" s="180"/>
      <c r="E16" s="180"/>
      <c r="F16" s="180"/>
      <c r="G16" s="181"/>
      <c r="H16" s="180"/>
    </row>
    <row r="18" spans="1:10">
      <c r="B18" s="182"/>
      <c r="C18" s="182"/>
      <c r="D18" s="182"/>
      <c r="E18" s="182"/>
      <c r="F18" s="182"/>
      <c r="G18" s="183"/>
      <c r="H18" s="182"/>
      <c r="I18" s="182"/>
      <c r="J18" s="182"/>
    </row>
    <row r="19" spans="1:10">
      <c r="A19" s="179"/>
      <c r="B19" s="184"/>
      <c r="G19" s="155"/>
    </row>
    <row r="20" spans="1:10">
      <c r="A20" s="179"/>
      <c r="B20" s="184"/>
      <c r="G20" s="155"/>
    </row>
    <row r="21" spans="1:10">
      <c r="A21" s="179"/>
      <c r="B21" s="184"/>
      <c r="G21" s="155"/>
    </row>
    <row r="22" spans="1:10">
      <c r="A22" s="179"/>
      <c r="B22" s="184"/>
      <c r="G22" s="155"/>
    </row>
    <row r="23" spans="1:10">
      <c r="A23" s="179"/>
      <c r="B23" s="184"/>
      <c r="G23" s="155"/>
    </row>
    <row r="24" spans="1:10">
      <c r="A24" s="179"/>
      <c r="B24" s="184"/>
      <c r="G24" s="155"/>
    </row>
    <row r="25" spans="1:10">
      <c r="A25" s="179"/>
      <c r="B25" s="184"/>
      <c r="G25" s="155"/>
    </row>
    <row r="26" spans="1:10">
      <c r="A26" s="179"/>
      <c r="B26" s="184"/>
      <c r="G26" s="155"/>
    </row>
    <row r="27" spans="1:10" ht="23.45" customHeight="1">
      <c r="A27" s="179"/>
      <c r="B27" s="184"/>
      <c r="G27" s="155"/>
    </row>
    <row r="28" spans="1:10" ht="23.45" customHeight="1">
      <c r="A28" s="179"/>
      <c r="B28" s="184"/>
      <c r="G28" s="155"/>
    </row>
    <row r="29" spans="1:10" ht="23.45" customHeight="1">
      <c r="A29" s="179"/>
      <c r="B29" s="184"/>
      <c r="G29" s="155"/>
    </row>
    <row r="30" spans="1:10">
      <c r="G30" s="155"/>
    </row>
    <row r="31" spans="1:10">
      <c r="G31" s="155"/>
    </row>
    <row r="32" spans="1:10" ht="55.9" customHeight="1">
      <c r="B32" s="184"/>
      <c r="G32" s="155"/>
    </row>
    <row r="33" spans="7:7">
      <c r="G33" s="155"/>
    </row>
  </sheetData>
  <mergeCells count="8">
    <mergeCell ref="C7:H7"/>
    <mergeCell ref="B8:H8"/>
    <mergeCell ref="B15:H15"/>
    <mergeCell ref="B2:H2"/>
    <mergeCell ref="C3:H3"/>
    <mergeCell ref="C4:H4"/>
    <mergeCell ref="C5:H5"/>
    <mergeCell ref="C6:H6"/>
  </mergeCells>
  <phoneticPr fontId="40" type="noConversion"/>
  <conditionalFormatting sqref="B2:B7">
    <cfRule type="cellIs" dxfId="4" priority="19" operator="equal">
      <formula>"Serious"</formula>
    </cfRule>
    <cfRule type="cellIs" dxfId="3" priority="20" operator="equal">
      <formula>"Critical"</formula>
    </cfRule>
  </conditionalFormatting>
  <conditionalFormatting sqref="B13:B14">
    <cfRule type="cellIs" dxfId="2" priority="5" operator="equal">
      <formula>"Serious"</formula>
    </cfRule>
    <cfRule type="cellIs" dxfId="1" priority="6" operator="equal">
      <formula>"Critical"</formula>
    </cfRule>
  </conditionalFormatting>
  <pageMargins left="0.7" right="0.7" top="0.75" bottom="0.75" header="0.3" footer="0.3"/>
  <pageSetup paperSize="9" orientation="portrait"/>
  <headerFooter>
    <oddFooter>&amp;L_x000D_&amp;1#&amp;"Calibri"&amp;8&amp;K000000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5"/>
  <sheetViews>
    <sheetView showGridLines="0" tabSelected="1" workbookViewId="0">
      <selection activeCell="H4" sqref="H4"/>
    </sheetView>
  </sheetViews>
  <sheetFormatPr defaultColWidth="9.125" defaultRowHeight="15"/>
  <cols>
    <col min="1" max="2" width="3.25" style="40" customWidth="1"/>
    <col min="3" max="3" width="125.75" style="40" customWidth="1"/>
    <col min="4" max="16384" width="9.125" style="40"/>
  </cols>
  <sheetData>
    <row r="1" spans="2:3" ht="15.75" thickBot="1"/>
    <row r="2" spans="2:3">
      <c r="C2" s="188" t="s">
        <v>146</v>
      </c>
    </row>
    <row r="3" spans="2:3">
      <c r="C3" s="223" t="s">
        <v>144</v>
      </c>
    </row>
    <row r="4" spans="2:3" ht="150.75" thickBot="1">
      <c r="C4" s="224" t="s">
        <v>145</v>
      </c>
    </row>
    <row r="5" spans="2:3" ht="15.75" thickBot="1"/>
    <row r="6" spans="2:3" ht="15.75" customHeight="1">
      <c r="B6" s="202" t="s">
        <v>16</v>
      </c>
      <c r="C6" s="203"/>
    </row>
    <row r="7" spans="2:3">
      <c r="B7" s="141">
        <v>1</v>
      </c>
      <c r="C7" s="142" t="s">
        <v>17</v>
      </c>
    </row>
    <row r="8" spans="2:3">
      <c r="B8" s="141">
        <v>2</v>
      </c>
      <c r="C8" s="142" t="s">
        <v>18</v>
      </c>
    </row>
    <row r="9" spans="2:3">
      <c r="B9" s="141">
        <v>3</v>
      </c>
      <c r="C9" s="142" t="s">
        <v>19</v>
      </c>
    </row>
    <row r="10" spans="2:3">
      <c r="B10" s="141">
        <v>4</v>
      </c>
      <c r="C10" s="142" t="s">
        <v>20</v>
      </c>
    </row>
    <row r="11" spans="2:3" ht="30">
      <c r="B11" s="143">
        <v>5</v>
      </c>
      <c r="C11" s="144" t="s">
        <v>21</v>
      </c>
    </row>
    <row r="12" spans="2:3">
      <c r="B12" s="143">
        <v>6</v>
      </c>
      <c r="C12" s="144" t="s">
        <v>22</v>
      </c>
    </row>
    <row r="13" spans="2:3" ht="30">
      <c r="B13" s="143">
        <v>7</v>
      </c>
      <c r="C13" s="144" t="s">
        <v>23</v>
      </c>
    </row>
    <row r="14" spans="2:3">
      <c r="B14" s="143">
        <v>8</v>
      </c>
      <c r="C14" s="144" t="s">
        <v>24</v>
      </c>
    </row>
    <row r="15" spans="2:3">
      <c r="B15" s="143">
        <v>9</v>
      </c>
      <c r="C15" s="144" t="s">
        <v>25</v>
      </c>
    </row>
    <row r="16" spans="2:3">
      <c r="B16" s="143">
        <v>10</v>
      </c>
      <c r="C16" s="144" t="s">
        <v>26</v>
      </c>
    </row>
    <row r="17" spans="2:3">
      <c r="B17" s="143">
        <v>11</v>
      </c>
      <c r="C17" s="144" t="s">
        <v>27</v>
      </c>
    </row>
    <row r="18" spans="2:3">
      <c r="B18" s="143">
        <v>12</v>
      </c>
      <c r="C18" s="144" t="s">
        <v>28</v>
      </c>
    </row>
    <row r="19" spans="2:3">
      <c r="B19" s="143">
        <v>13</v>
      </c>
      <c r="C19" s="144" t="s">
        <v>29</v>
      </c>
    </row>
    <row r="20" spans="2:3">
      <c r="B20" s="145">
        <v>14</v>
      </c>
      <c r="C20" s="146" t="s">
        <v>30</v>
      </c>
    </row>
    <row r="21" spans="2:3">
      <c r="B21" s="147">
        <v>15</v>
      </c>
      <c r="C21" s="148" t="s">
        <v>31</v>
      </c>
    </row>
    <row r="22" spans="2:3">
      <c r="B22" s="149">
        <v>16</v>
      </c>
      <c r="C22" s="150" t="s">
        <v>32</v>
      </c>
    </row>
    <row r="23" spans="2:3">
      <c r="B23" s="151">
        <v>17</v>
      </c>
      <c r="C23" s="152" t="s">
        <v>33</v>
      </c>
    </row>
    <row r="24" spans="2:3">
      <c r="B24" s="151">
        <v>18</v>
      </c>
      <c r="C24" s="152" t="s">
        <v>34</v>
      </c>
    </row>
    <row r="25" spans="2:3" ht="30.75" thickBot="1">
      <c r="B25" s="151">
        <v>19</v>
      </c>
      <c r="C25" s="152" t="s">
        <v>35</v>
      </c>
    </row>
  </sheetData>
  <mergeCells count="1">
    <mergeCell ref="B6:C6"/>
  </mergeCells>
  <phoneticPr fontId="40" type="noConversion"/>
  <pageMargins left="0.7" right="0.7" top="0.75" bottom="0.75" header="0.3" footer="0.3"/>
  <pageSetup paperSize="9" orientation="portrait"/>
  <headerFooter>
    <oddFooter>&amp;L_x000D_&amp;1#&amp;"Calibri"&amp;8&amp;K000000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52"/>
  <sheetViews>
    <sheetView showGridLines="0" zoomScale="85" zoomScaleNormal="85" workbookViewId="0">
      <pane xSplit="4" ySplit="6" topLeftCell="F65" activePane="bottomRight" state="frozen"/>
      <selection pane="topRight"/>
      <selection pane="bottomLeft"/>
      <selection pane="bottomRight" activeCell="J4" sqref="J4"/>
    </sheetView>
  </sheetViews>
  <sheetFormatPr defaultColWidth="8.875" defaultRowHeight="15" outlineLevelRow="1"/>
  <cols>
    <col min="1" max="1" width="2" style="40" customWidth="1"/>
    <col min="2" max="2" width="6.125" style="40" customWidth="1"/>
    <col min="3" max="3" width="47.5" style="41" customWidth="1"/>
    <col min="4" max="4" width="14.5" style="42" customWidth="1"/>
    <col min="5" max="5" width="13.125" style="40" customWidth="1"/>
    <col min="6" max="6" width="20.625" style="40" customWidth="1"/>
    <col min="7" max="7" width="17.875" style="40" customWidth="1"/>
    <col min="8" max="9" width="18.5" style="40" customWidth="1"/>
    <col min="10" max="10" width="37.75" style="39" customWidth="1"/>
    <col min="11" max="11" width="11.25" style="40" customWidth="1"/>
    <col min="12" max="12" width="9" style="40" customWidth="1"/>
    <col min="13" max="13" width="10.5" style="40" customWidth="1"/>
    <col min="14" max="14" width="11.125" style="40"/>
    <col min="15" max="16" width="9" style="40" customWidth="1"/>
    <col min="17" max="17" width="11.25" style="40" customWidth="1"/>
    <col min="18" max="19" width="9" style="40" customWidth="1"/>
    <col min="20" max="16384" width="8.875" style="40"/>
  </cols>
  <sheetData>
    <row r="1" spans="1:19" ht="30.75" customHeight="1"/>
    <row r="2" spans="1:19" ht="16.5">
      <c r="B2" s="215" t="s">
        <v>36</v>
      </c>
      <c r="C2" s="216"/>
      <c r="D2" s="216"/>
      <c r="E2" s="216"/>
      <c r="F2" s="216"/>
      <c r="G2" s="225" t="s">
        <v>37</v>
      </c>
      <c r="H2" s="226" t="s">
        <v>147</v>
      </c>
      <c r="I2" s="227" t="s">
        <v>38</v>
      </c>
      <c r="K2" s="217" t="str">
        <f>G2</f>
        <v>XXX _AOSP</v>
      </c>
      <c r="L2" s="218"/>
      <c r="M2" s="219"/>
      <c r="N2" s="220" t="str">
        <f>H2</f>
        <v>XXX _HMD</v>
      </c>
      <c r="O2" s="221"/>
      <c r="P2" s="222"/>
      <c r="Q2" s="220" t="str">
        <f>I2</f>
        <v>Reference device</v>
      </c>
      <c r="R2" s="221"/>
      <c r="S2" s="222"/>
    </row>
    <row r="3" spans="1:19" ht="60">
      <c r="B3" s="228" t="s">
        <v>39</v>
      </c>
      <c r="C3" s="229"/>
      <c r="D3" s="229"/>
      <c r="E3" s="229"/>
      <c r="F3" s="229"/>
      <c r="G3" s="43"/>
      <c r="H3" s="43"/>
      <c r="I3" s="79"/>
      <c r="K3" s="80" t="s">
        <v>40</v>
      </c>
      <c r="L3" s="81" t="s">
        <v>41</v>
      </c>
      <c r="M3" s="82" t="s">
        <v>42</v>
      </c>
      <c r="N3" s="80" t="s">
        <v>40</v>
      </c>
      <c r="O3" s="81" t="s">
        <v>41</v>
      </c>
      <c r="P3" s="82" t="s">
        <v>42</v>
      </c>
      <c r="Q3" s="80" t="s">
        <v>40</v>
      </c>
      <c r="R3" s="81" t="s">
        <v>41</v>
      </c>
      <c r="S3" s="82" t="s">
        <v>42</v>
      </c>
    </row>
    <row r="4" spans="1:19">
      <c r="B4" s="228" t="s">
        <v>43</v>
      </c>
      <c r="C4" s="229"/>
      <c r="D4" s="229"/>
      <c r="E4" s="229"/>
      <c r="F4" s="229"/>
      <c r="G4" s="43"/>
      <c r="H4" s="43"/>
      <c r="I4" s="79"/>
      <c r="K4" s="83">
        <f>978/60</f>
        <v>16.3</v>
      </c>
      <c r="L4" s="84">
        <f>SUM(L10:L14,L16:L17,L19:L20,L22:L24,L26:L28,L30:L31,L34:L38,L40:L41,L43:L44,L46:L48,L50:L52,L54:L55,L58:L62,L64:L65,L67:L68,L70:L72,L74:L76,L78:L79,L82:L86,L88:L89,L91:L92,L94:L96,L98:L100,L102:L103,L106:L110,L112:L113,L115:L116,L118:L120,L122:L124,L126:L127)</f>
        <v>0</v>
      </c>
      <c r="M4" s="85" t="e">
        <f>K4/L4</f>
        <v>#DIV/0!</v>
      </c>
      <c r="N4" s="83">
        <f>1067/60</f>
        <v>17.783333333333335</v>
      </c>
      <c r="O4" s="84">
        <f>SUM(O10:O14,O16:O17,O19:O20,O22:O24,O26:O28,O30:O31,O34:O38,O40:O41,O43:O44,O46:O48,O50:O52,O54:O55,O58:O62,O64:O65,O67:O68,O70:O72,O74:O76,O78:O79,O82:O86,O88:O89,O91:O92,O94:O96,O98:O100,O102:O103,O106:O110,O112:O113,O115:O116,O118:O120,O122:O124,O126:O127)</f>
        <v>0</v>
      </c>
      <c r="P4" s="85" t="e">
        <f>N4/O4</f>
        <v>#DIV/0!</v>
      </c>
      <c r="Q4" s="83">
        <f>794/60</f>
        <v>13.233333333333333</v>
      </c>
      <c r="R4" s="84">
        <f>SUM(R10:R14,R16:R17,R19:R20,R22:R24,R26:R28,R30:R31,R34:R38,R40:R41,R43:R44,R46:R48,R50:R52,R54:R55,R58:R62,R64:R65,R67:R68,R70:R72,R74:R76,R78:R79,R82:R86,R88:R89,R91:R92,R94:R96,R98:R100,R102:R103,R106:R110,R112:R113,R115:R116,R118:R120,R122:R124,R126:R127)</f>
        <v>0</v>
      </c>
      <c r="S4" s="85" t="e">
        <f>Q4/R4</f>
        <v>#DIV/0!</v>
      </c>
    </row>
    <row r="5" spans="1:19" ht="60">
      <c r="B5" s="228" t="s">
        <v>44</v>
      </c>
      <c r="C5" s="229"/>
      <c r="D5" s="229"/>
      <c r="E5" s="229"/>
      <c r="F5" s="229"/>
      <c r="G5" s="44"/>
      <c r="H5" s="44"/>
      <c r="I5" s="86"/>
      <c r="K5" s="80" t="s">
        <v>45</v>
      </c>
      <c r="L5" s="81" t="s">
        <v>46</v>
      </c>
      <c r="M5" s="82" t="s">
        <v>47</v>
      </c>
      <c r="N5" s="80" t="s">
        <v>45</v>
      </c>
      <c r="O5" s="81" t="s">
        <v>46</v>
      </c>
      <c r="P5" s="82" t="s">
        <v>47</v>
      </c>
      <c r="Q5" s="80" t="s">
        <v>45</v>
      </c>
      <c r="R5" s="81" t="s">
        <v>46</v>
      </c>
      <c r="S5" s="82" t="s">
        <v>47</v>
      </c>
    </row>
    <row r="6" spans="1:19" s="36" customFormat="1">
      <c r="B6" s="230" t="s">
        <v>48</v>
      </c>
      <c r="C6" s="231"/>
      <c r="D6" s="231"/>
      <c r="E6" s="231"/>
      <c r="F6" s="231"/>
      <c r="G6" s="45"/>
      <c r="H6" s="45"/>
      <c r="I6" s="87"/>
      <c r="J6" s="39"/>
      <c r="K6" s="88">
        <f>3396/60</f>
        <v>56.6</v>
      </c>
      <c r="L6" s="89">
        <f>SUM(L15,L18,L21,L25,L29,L32,L39,L42,L45,L49,L53,L56,L63,L66,L69,L73,L77,L80,L87,L90,L93,L97,L101,L104,L111,L114,L117,L121,L125,L128)</f>
        <v>0</v>
      </c>
      <c r="M6" s="90" t="e">
        <f>K6/L6</f>
        <v>#DIV/0!</v>
      </c>
      <c r="N6" s="88">
        <f>3589/60</f>
        <v>59.81666666666667</v>
      </c>
      <c r="O6" s="89">
        <f>SUM(O15,O18,O21,O25,O29,O32,O39,O42,O45,O49,O53,O56,O63,O66,O69,O73,O77,O80,O87,O90,O93,O97,O101,O104,O111,O114,O117,O121,O125,O128)</f>
        <v>0</v>
      </c>
      <c r="P6" s="90" t="e">
        <f>N6/O6</f>
        <v>#DIV/0!</v>
      </c>
      <c r="Q6" s="88">
        <f>2457/60</f>
        <v>40.950000000000003</v>
      </c>
      <c r="R6" s="89">
        <f>SUM(R15,R18,R21,R25,R29,R32,R39,R42,R45,R49,R53,R56,R63,R66,R69,R73,R77,R80,R87,R90,R93,R97,R101,R104,R111,R114,R117,R121,R125,R128)</f>
        <v>0</v>
      </c>
      <c r="S6" s="90" t="e">
        <f>Q6/R6</f>
        <v>#DIV/0!</v>
      </c>
    </row>
    <row r="7" spans="1:19" s="37" customFormat="1" ht="6.6" customHeight="1">
      <c r="B7" s="46"/>
      <c r="C7" s="46"/>
      <c r="D7" s="46"/>
      <c r="E7" s="46"/>
      <c r="F7" s="46"/>
      <c r="G7" s="47"/>
      <c r="H7" s="47"/>
      <c r="I7" s="47"/>
      <c r="J7" s="91"/>
      <c r="K7" s="92"/>
      <c r="L7" s="93"/>
      <c r="N7" s="94"/>
      <c r="O7" s="92"/>
      <c r="P7" s="93"/>
      <c r="Q7" s="94"/>
      <c r="R7" s="92"/>
      <c r="S7" s="93"/>
    </row>
    <row r="8" spans="1:19" s="38" customFormat="1" ht="30">
      <c r="B8" s="48" t="s">
        <v>49</v>
      </c>
      <c r="C8" s="49" t="s">
        <v>50</v>
      </c>
      <c r="D8" s="49" t="s">
        <v>51</v>
      </c>
      <c r="E8" s="50" t="s">
        <v>52</v>
      </c>
      <c r="F8" s="51" t="s">
        <v>53</v>
      </c>
      <c r="G8" s="51" t="s">
        <v>54</v>
      </c>
      <c r="H8" s="51" t="s">
        <v>54</v>
      </c>
      <c r="I8" s="51" t="s">
        <v>54</v>
      </c>
      <c r="J8" s="95" t="s">
        <v>55</v>
      </c>
      <c r="L8" s="211" t="str">
        <f>G2</f>
        <v>XXX _AOSP</v>
      </c>
      <c r="M8" s="212"/>
      <c r="O8" s="213">
        <f>H3</f>
        <v>0</v>
      </c>
      <c r="P8" s="214"/>
      <c r="R8" s="207">
        <f>I3</f>
        <v>0</v>
      </c>
      <c r="S8" s="208"/>
    </row>
    <row r="9" spans="1:19" s="38" customFormat="1" ht="31.15" customHeight="1">
      <c r="B9" s="52" t="s">
        <v>56</v>
      </c>
      <c r="C9" s="53"/>
      <c r="D9" s="53"/>
      <c r="E9" s="53"/>
      <c r="F9" s="53"/>
      <c r="G9" s="53"/>
      <c r="H9" s="53"/>
      <c r="I9" s="53"/>
      <c r="J9" s="96"/>
      <c r="L9" s="97" t="s">
        <v>57</v>
      </c>
      <c r="M9" s="98" t="s">
        <v>58</v>
      </c>
      <c r="O9" s="97" t="s">
        <v>57</v>
      </c>
      <c r="P9" s="98" t="s">
        <v>58</v>
      </c>
      <c r="R9" s="97" t="s">
        <v>57</v>
      </c>
      <c r="S9" s="98" t="s">
        <v>58</v>
      </c>
    </row>
    <row r="10" spans="1:19">
      <c r="A10" s="54"/>
      <c r="B10" s="55">
        <v>1</v>
      </c>
      <c r="C10" s="56" t="s">
        <v>59</v>
      </c>
      <c r="D10" s="57" t="s">
        <v>60</v>
      </c>
      <c r="E10" s="58">
        <v>1</v>
      </c>
      <c r="F10" s="59"/>
      <c r="G10" s="60"/>
      <c r="H10" s="60"/>
      <c r="I10" s="60"/>
      <c r="J10" s="99"/>
      <c r="L10" s="100">
        <f>G6-G10</f>
        <v>0</v>
      </c>
      <c r="M10" s="101">
        <f t="shared" ref="M10:M32" si="0">$G$5*L10*60/E10</f>
        <v>0</v>
      </c>
      <c r="O10" s="100">
        <f>H6-H10</f>
        <v>0</v>
      </c>
      <c r="P10" s="102">
        <f t="shared" ref="P10:P32" si="1">$H$5*O10*60/E10</f>
        <v>0</v>
      </c>
      <c r="R10" s="100">
        <f>I6-I10</f>
        <v>0</v>
      </c>
      <c r="S10" s="102">
        <f t="shared" ref="S10:S32" si="2">$I$5*R10*60/E10</f>
        <v>0</v>
      </c>
    </row>
    <row r="11" spans="1:19" ht="45">
      <c r="A11" s="54"/>
      <c r="B11" s="61">
        <v>2</v>
      </c>
      <c r="C11" s="62" t="s">
        <v>61</v>
      </c>
      <c r="D11" s="63" t="s">
        <v>62</v>
      </c>
      <c r="E11" s="64">
        <v>20</v>
      </c>
      <c r="F11" s="59"/>
      <c r="G11" s="60"/>
      <c r="H11" s="60"/>
      <c r="I11" s="60"/>
      <c r="J11" s="103"/>
      <c r="L11" s="104">
        <f t="shared" ref="L11:L32" si="3">G10-G11</f>
        <v>0</v>
      </c>
      <c r="M11" s="105">
        <f t="shared" si="0"/>
        <v>0</v>
      </c>
      <c r="O11" s="104">
        <f t="shared" ref="O11:O32" si="4">H10-H11</f>
        <v>0</v>
      </c>
      <c r="P11" s="106">
        <f t="shared" si="1"/>
        <v>0</v>
      </c>
      <c r="R11" s="104">
        <f t="shared" ref="R11:R32" si="5">I10-I11</f>
        <v>0</v>
      </c>
      <c r="S11" s="106">
        <f t="shared" si="2"/>
        <v>0</v>
      </c>
    </row>
    <row r="12" spans="1:19" ht="45">
      <c r="A12" s="54"/>
      <c r="B12" s="61">
        <v>3</v>
      </c>
      <c r="C12" s="62" t="s">
        <v>63</v>
      </c>
      <c r="D12" s="63" t="s">
        <v>60</v>
      </c>
      <c r="E12" s="64">
        <v>5</v>
      </c>
      <c r="F12" s="59"/>
      <c r="G12" s="60"/>
      <c r="H12" s="60"/>
      <c r="I12" s="60"/>
      <c r="J12" s="103"/>
      <c r="L12" s="104">
        <f t="shared" si="3"/>
        <v>0</v>
      </c>
      <c r="M12" s="105">
        <f t="shared" si="0"/>
        <v>0</v>
      </c>
      <c r="O12" s="104">
        <f t="shared" si="4"/>
        <v>0</v>
      </c>
      <c r="P12" s="106">
        <f t="shared" si="1"/>
        <v>0</v>
      </c>
      <c r="R12" s="104">
        <f t="shared" si="5"/>
        <v>0</v>
      </c>
      <c r="S12" s="106">
        <f t="shared" si="2"/>
        <v>0</v>
      </c>
    </row>
    <row r="13" spans="1:19" ht="30">
      <c r="A13" s="65"/>
      <c r="B13" s="61">
        <v>4</v>
      </c>
      <c r="C13" s="62" t="s">
        <v>64</v>
      </c>
      <c r="D13" s="63" t="s">
        <v>65</v>
      </c>
      <c r="E13" s="64">
        <v>40</v>
      </c>
      <c r="F13" s="59"/>
      <c r="G13" s="60"/>
      <c r="H13" s="60"/>
      <c r="I13" s="60"/>
      <c r="J13" s="103"/>
      <c r="K13" s="107"/>
      <c r="L13" s="104">
        <f t="shared" si="3"/>
        <v>0</v>
      </c>
      <c r="M13" s="105">
        <f t="shared" si="0"/>
        <v>0</v>
      </c>
      <c r="O13" s="104">
        <f t="shared" si="4"/>
        <v>0</v>
      </c>
      <c r="P13" s="106">
        <f t="shared" si="1"/>
        <v>0</v>
      </c>
      <c r="R13" s="104">
        <f t="shared" si="5"/>
        <v>0</v>
      </c>
      <c r="S13" s="106">
        <f t="shared" si="2"/>
        <v>0</v>
      </c>
    </row>
    <row r="14" spans="1:19">
      <c r="A14" s="65"/>
      <c r="B14" s="61">
        <v>5</v>
      </c>
      <c r="C14" s="62" t="s">
        <v>66</v>
      </c>
      <c r="D14" s="63" t="s">
        <v>67</v>
      </c>
      <c r="E14" s="64">
        <v>2</v>
      </c>
      <c r="F14" s="59"/>
      <c r="G14" s="60"/>
      <c r="H14" s="60"/>
      <c r="I14" s="60"/>
      <c r="J14" s="103"/>
      <c r="K14" s="107"/>
      <c r="L14" s="104">
        <f t="shared" si="3"/>
        <v>0</v>
      </c>
      <c r="M14" s="105">
        <f t="shared" si="0"/>
        <v>0</v>
      </c>
      <c r="O14" s="104">
        <f t="shared" si="4"/>
        <v>0</v>
      </c>
      <c r="P14" s="106">
        <f t="shared" si="1"/>
        <v>0</v>
      </c>
      <c r="R14" s="104">
        <f t="shared" si="5"/>
        <v>0</v>
      </c>
      <c r="S14" s="106">
        <f t="shared" si="2"/>
        <v>0</v>
      </c>
    </row>
    <row r="15" spans="1:19" ht="25.5" customHeight="1">
      <c r="B15" s="66">
        <v>6</v>
      </c>
      <c r="C15" s="67" t="s">
        <v>68</v>
      </c>
      <c r="D15" s="68" t="s">
        <v>69</v>
      </c>
      <c r="E15" s="69">
        <v>83</v>
      </c>
      <c r="F15" s="70"/>
      <c r="G15" s="71"/>
      <c r="H15" s="71"/>
      <c r="I15" s="71"/>
      <c r="J15" s="108" t="s">
        <v>70</v>
      </c>
      <c r="K15" s="109"/>
      <c r="L15" s="110">
        <f t="shared" si="3"/>
        <v>0</v>
      </c>
      <c r="M15" s="111">
        <f t="shared" si="0"/>
        <v>0</v>
      </c>
      <c r="N15" s="112"/>
      <c r="O15" s="110">
        <f t="shared" si="4"/>
        <v>0</v>
      </c>
      <c r="P15" s="113">
        <f t="shared" si="1"/>
        <v>0</v>
      </c>
      <c r="Q15" s="112"/>
      <c r="R15" s="110">
        <f t="shared" si="5"/>
        <v>0</v>
      </c>
      <c r="S15" s="113">
        <f t="shared" si="2"/>
        <v>0</v>
      </c>
    </row>
    <row r="16" spans="1:19" ht="90.75" customHeight="1">
      <c r="A16" s="65"/>
      <c r="B16" s="61">
        <v>7</v>
      </c>
      <c r="C16" s="62" t="s">
        <v>71</v>
      </c>
      <c r="D16" s="63" t="s">
        <v>72</v>
      </c>
      <c r="E16" s="64">
        <v>30</v>
      </c>
      <c r="F16" s="72"/>
      <c r="G16" s="60"/>
      <c r="H16" s="60"/>
      <c r="I16" s="60"/>
      <c r="J16" s="103"/>
      <c r="K16" s="109"/>
      <c r="L16" s="104">
        <f t="shared" si="3"/>
        <v>0</v>
      </c>
      <c r="M16" s="105">
        <f t="shared" si="0"/>
        <v>0</v>
      </c>
      <c r="O16" s="104">
        <f t="shared" si="4"/>
        <v>0</v>
      </c>
      <c r="P16" s="106">
        <f t="shared" si="1"/>
        <v>0</v>
      </c>
      <c r="R16" s="104">
        <f t="shared" si="5"/>
        <v>0</v>
      </c>
      <c r="S16" s="106">
        <f t="shared" si="2"/>
        <v>0</v>
      </c>
    </row>
    <row r="17" spans="1:19" ht="65.25" customHeight="1">
      <c r="A17" s="65"/>
      <c r="B17" s="61">
        <v>8</v>
      </c>
      <c r="C17" s="62" t="s">
        <v>73</v>
      </c>
      <c r="D17" s="63" t="s">
        <v>74</v>
      </c>
      <c r="E17" s="64">
        <v>5</v>
      </c>
      <c r="F17" s="59"/>
      <c r="G17" s="60"/>
      <c r="H17" s="60"/>
      <c r="I17" s="60"/>
      <c r="J17" s="103"/>
      <c r="L17" s="104">
        <f t="shared" si="3"/>
        <v>0</v>
      </c>
      <c r="M17" s="105">
        <f t="shared" si="0"/>
        <v>0</v>
      </c>
      <c r="O17" s="104">
        <f t="shared" si="4"/>
        <v>0</v>
      </c>
      <c r="P17" s="106">
        <f t="shared" si="1"/>
        <v>0</v>
      </c>
      <c r="R17" s="104">
        <f t="shared" si="5"/>
        <v>0</v>
      </c>
      <c r="S17" s="106">
        <f t="shared" si="2"/>
        <v>0</v>
      </c>
    </row>
    <row r="18" spans="1:19" ht="41.45" customHeight="1">
      <c r="B18" s="66">
        <v>9</v>
      </c>
      <c r="C18" s="67" t="s">
        <v>75</v>
      </c>
      <c r="D18" s="68" t="s">
        <v>76</v>
      </c>
      <c r="E18" s="69">
        <v>105</v>
      </c>
      <c r="F18" s="70"/>
      <c r="G18" s="71"/>
      <c r="H18" s="71"/>
      <c r="I18" s="71"/>
      <c r="J18" s="108" t="s">
        <v>70</v>
      </c>
      <c r="L18" s="110">
        <f t="shared" si="3"/>
        <v>0</v>
      </c>
      <c r="M18" s="111">
        <f t="shared" si="0"/>
        <v>0</v>
      </c>
      <c r="N18" s="112"/>
      <c r="O18" s="110">
        <f t="shared" si="4"/>
        <v>0</v>
      </c>
      <c r="P18" s="113">
        <f t="shared" si="1"/>
        <v>0</v>
      </c>
      <c r="Q18" s="112"/>
      <c r="R18" s="110">
        <f t="shared" si="5"/>
        <v>0</v>
      </c>
      <c r="S18" s="113">
        <f t="shared" si="2"/>
        <v>0</v>
      </c>
    </row>
    <row r="19" spans="1:19" ht="60">
      <c r="A19" s="73"/>
      <c r="B19" s="61">
        <v>10</v>
      </c>
      <c r="C19" s="62" t="s">
        <v>77</v>
      </c>
      <c r="D19" s="63" t="s">
        <v>78</v>
      </c>
      <c r="E19" s="64">
        <v>30</v>
      </c>
      <c r="F19" s="72"/>
      <c r="G19" s="60"/>
      <c r="H19" s="60"/>
      <c r="I19" s="60"/>
      <c r="J19" s="103"/>
      <c r="L19" s="104">
        <f t="shared" si="3"/>
        <v>0</v>
      </c>
      <c r="M19" s="105">
        <f t="shared" si="0"/>
        <v>0</v>
      </c>
      <c r="O19" s="104">
        <f t="shared" si="4"/>
        <v>0</v>
      </c>
      <c r="P19" s="106">
        <f t="shared" si="1"/>
        <v>0</v>
      </c>
      <c r="R19" s="104">
        <f t="shared" si="5"/>
        <v>0</v>
      </c>
      <c r="S19" s="106">
        <f t="shared" si="2"/>
        <v>0</v>
      </c>
    </row>
    <row r="20" spans="1:19" ht="30">
      <c r="A20" s="74"/>
      <c r="B20" s="61">
        <v>11</v>
      </c>
      <c r="C20" s="62" t="s">
        <v>79</v>
      </c>
      <c r="D20" s="63" t="s">
        <v>80</v>
      </c>
      <c r="E20" s="64">
        <v>10</v>
      </c>
      <c r="F20" s="59"/>
      <c r="G20" s="60"/>
      <c r="H20" s="60"/>
      <c r="I20" s="60"/>
      <c r="J20" s="103"/>
      <c r="L20" s="104">
        <f t="shared" si="3"/>
        <v>0</v>
      </c>
      <c r="M20" s="105">
        <f t="shared" si="0"/>
        <v>0</v>
      </c>
      <c r="O20" s="104">
        <f t="shared" si="4"/>
        <v>0</v>
      </c>
      <c r="P20" s="106">
        <f t="shared" si="1"/>
        <v>0</v>
      </c>
      <c r="R20" s="104">
        <f t="shared" si="5"/>
        <v>0</v>
      </c>
      <c r="S20" s="106">
        <f t="shared" si="2"/>
        <v>0</v>
      </c>
    </row>
    <row r="21" spans="1:19" ht="43.15" customHeight="1">
      <c r="B21" s="66">
        <v>12</v>
      </c>
      <c r="C21" s="67" t="s">
        <v>81</v>
      </c>
      <c r="D21" s="68" t="s">
        <v>82</v>
      </c>
      <c r="E21" s="69">
        <v>5</v>
      </c>
      <c r="F21" s="70"/>
      <c r="G21" s="71"/>
      <c r="H21" s="71"/>
      <c r="I21" s="71"/>
      <c r="J21" s="108" t="s">
        <v>70</v>
      </c>
      <c r="L21" s="110">
        <f t="shared" si="3"/>
        <v>0</v>
      </c>
      <c r="M21" s="111">
        <f t="shared" si="0"/>
        <v>0</v>
      </c>
      <c r="N21" s="112"/>
      <c r="O21" s="110">
        <f t="shared" si="4"/>
        <v>0</v>
      </c>
      <c r="P21" s="113">
        <f t="shared" si="1"/>
        <v>0</v>
      </c>
      <c r="Q21" s="112"/>
      <c r="R21" s="110">
        <f t="shared" si="5"/>
        <v>0</v>
      </c>
      <c r="S21" s="113">
        <f t="shared" si="2"/>
        <v>0</v>
      </c>
    </row>
    <row r="22" spans="1:19" ht="30">
      <c r="A22" s="65"/>
      <c r="B22" s="61">
        <v>13</v>
      </c>
      <c r="C22" s="62" t="s">
        <v>83</v>
      </c>
      <c r="D22" s="63" t="s">
        <v>84</v>
      </c>
      <c r="E22" s="64">
        <v>20</v>
      </c>
      <c r="F22" s="72"/>
      <c r="G22" s="60"/>
      <c r="H22" s="60"/>
      <c r="I22" s="60"/>
      <c r="J22" s="103"/>
      <c r="L22" s="104">
        <f t="shared" si="3"/>
        <v>0</v>
      </c>
      <c r="M22" s="105">
        <f t="shared" si="0"/>
        <v>0</v>
      </c>
      <c r="O22" s="104">
        <f t="shared" si="4"/>
        <v>0</v>
      </c>
      <c r="P22" s="106">
        <f t="shared" si="1"/>
        <v>0</v>
      </c>
      <c r="R22" s="104">
        <f t="shared" si="5"/>
        <v>0</v>
      </c>
      <c r="S22" s="106">
        <f t="shared" si="2"/>
        <v>0</v>
      </c>
    </row>
    <row r="23" spans="1:19" ht="37.5">
      <c r="A23" s="65"/>
      <c r="B23" s="61">
        <v>14</v>
      </c>
      <c r="C23" s="62" t="s">
        <v>85</v>
      </c>
      <c r="D23" s="63" t="s">
        <v>86</v>
      </c>
      <c r="E23" s="64">
        <v>20</v>
      </c>
      <c r="F23" s="59"/>
      <c r="G23" s="75"/>
      <c r="H23" s="60"/>
      <c r="I23" s="60"/>
      <c r="J23" s="103"/>
      <c r="L23" s="104">
        <f t="shared" si="3"/>
        <v>0</v>
      </c>
      <c r="M23" s="105">
        <f t="shared" si="0"/>
        <v>0</v>
      </c>
      <c r="O23" s="104">
        <f t="shared" si="4"/>
        <v>0</v>
      </c>
      <c r="P23" s="106">
        <f t="shared" si="1"/>
        <v>0</v>
      </c>
      <c r="R23" s="104">
        <f t="shared" si="5"/>
        <v>0</v>
      </c>
      <c r="S23" s="106">
        <f t="shared" si="2"/>
        <v>0</v>
      </c>
    </row>
    <row r="24" spans="1:19">
      <c r="A24" s="65"/>
      <c r="B24" s="61">
        <v>15</v>
      </c>
      <c r="C24" s="62" t="s">
        <v>87</v>
      </c>
      <c r="D24" s="63" t="s">
        <v>67</v>
      </c>
      <c r="E24" s="64">
        <v>5</v>
      </c>
      <c r="F24" s="59"/>
      <c r="G24" s="60"/>
      <c r="H24" s="60"/>
      <c r="I24" s="60"/>
      <c r="J24" s="103"/>
      <c r="K24" s="38"/>
      <c r="L24" s="104">
        <f t="shared" si="3"/>
        <v>0</v>
      </c>
      <c r="M24" s="105">
        <f t="shared" si="0"/>
        <v>0</v>
      </c>
      <c r="O24" s="104">
        <f t="shared" si="4"/>
        <v>0</v>
      </c>
      <c r="P24" s="106">
        <f t="shared" si="1"/>
        <v>0</v>
      </c>
      <c r="R24" s="104">
        <f t="shared" si="5"/>
        <v>0</v>
      </c>
      <c r="S24" s="106">
        <f t="shared" si="2"/>
        <v>0</v>
      </c>
    </row>
    <row r="25" spans="1:19" ht="34.15" customHeight="1">
      <c r="B25" s="66">
        <v>16</v>
      </c>
      <c r="C25" s="67" t="s">
        <v>88</v>
      </c>
      <c r="D25" s="68" t="s">
        <v>76</v>
      </c>
      <c r="E25" s="69">
        <v>125</v>
      </c>
      <c r="F25" s="70"/>
      <c r="G25" s="71"/>
      <c r="H25" s="71"/>
      <c r="I25" s="71"/>
      <c r="J25" s="108" t="s">
        <v>70</v>
      </c>
      <c r="L25" s="110">
        <f t="shared" si="3"/>
        <v>0</v>
      </c>
      <c r="M25" s="111">
        <f t="shared" si="0"/>
        <v>0</v>
      </c>
      <c r="N25" s="112"/>
      <c r="O25" s="110">
        <f t="shared" si="4"/>
        <v>0</v>
      </c>
      <c r="P25" s="113">
        <f t="shared" si="1"/>
        <v>0</v>
      </c>
      <c r="Q25" s="112"/>
      <c r="R25" s="110">
        <f t="shared" si="5"/>
        <v>0</v>
      </c>
      <c r="S25" s="113">
        <f t="shared" si="2"/>
        <v>0</v>
      </c>
    </row>
    <row r="26" spans="1:19" ht="18.75">
      <c r="A26" s="74"/>
      <c r="B26" s="61">
        <v>17</v>
      </c>
      <c r="C26" s="62" t="s">
        <v>89</v>
      </c>
      <c r="D26" s="63" t="s">
        <v>90</v>
      </c>
      <c r="E26" s="64">
        <v>30</v>
      </c>
      <c r="F26" s="72"/>
      <c r="G26" s="60"/>
      <c r="H26" s="60"/>
      <c r="I26" s="60"/>
      <c r="J26" s="103"/>
      <c r="L26" s="104">
        <f t="shared" si="3"/>
        <v>0</v>
      </c>
      <c r="M26" s="105">
        <f t="shared" si="0"/>
        <v>0</v>
      </c>
      <c r="O26" s="104">
        <f t="shared" si="4"/>
        <v>0</v>
      </c>
      <c r="P26" s="106">
        <f t="shared" si="1"/>
        <v>0</v>
      </c>
      <c r="R26" s="104">
        <f t="shared" si="5"/>
        <v>0</v>
      </c>
      <c r="S26" s="106">
        <f t="shared" si="2"/>
        <v>0</v>
      </c>
    </row>
    <row r="27" spans="1:19" ht="60">
      <c r="A27" s="65"/>
      <c r="B27" s="61">
        <v>18</v>
      </c>
      <c r="C27" s="62" t="s">
        <v>91</v>
      </c>
      <c r="D27" s="63" t="s">
        <v>92</v>
      </c>
      <c r="E27" s="64">
        <v>30</v>
      </c>
      <c r="F27" s="59"/>
      <c r="G27" s="60"/>
      <c r="H27" s="60"/>
      <c r="I27" s="60"/>
      <c r="J27" s="103"/>
      <c r="L27" s="104">
        <f t="shared" si="3"/>
        <v>0</v>
      </c>
      <c r="M27" s="105">
        <f t="shared" si="0"/>
        <v>0</v>
      </c>
      <c r="O27" s="104">
        <f t="shared" si="4"/>
        <v>0</v>
      </c>
      <c r="P27" s="106">
        <f t="shared" si="1"/>
        <v>0</v>
      </c>
      <c r="R27" s="104">
        <f t="shared" si="5"/>
        <v>0</v>
      </c>
      <c r="S27" s="106">
        <f t="shared" si="2"/>
        <v>0</v>
      </c>
    </row>
    <row r="28" spans="1:19">
      <c r="A28" s="65"/>
      <c r="B28" s="61">
        <v>19</v>
      </c>
      <c r="C28" s="62" t="s">
        <v>87</v>
      </c>
      <c r="D28" s="63" t="s">
        <v>67</v>
      </c>
      <c r="E28" s="64">
        <v>5</v>
      </c>
      <c r="F28" s="59"/>
      <c r="G28" s="60"/>
      <c r="H28" s="60"/>
      <c r="I28" s="60"/>
      <c r="J28" s="103"/>
      <c r="K28" s="107"/>
      <c r="L28" s="104">
        <f t="shared" si="3"/>
        <v>0</v>
      </c>
      <c r="M28" s="105">
        <f t="shared" si="0"/>
        <v>0</v>
      </c>
      <c r="O28" s="104">
        <f t="shared" si="4"/>
        <v>0</v>
      </c>
      <c r="P28" s="106">
        <f t="shared" si="1"/>
        <v>0</v>
      </c>
      <c r="R28" s="104">
        <f t="shared" si="5"/>
        <v>0</v>
      </c>
      <c r="S28" s="106">
        <f t="shared" si="2"/>
        <v>0</v>
      </c>
    </row>
    <row r="29" spans="1:19" ht="32.450000000000003" customHeight="1">
      <c r="B29" s="66">
        <v>20</v>
      </c>
      <c r="C29" s="67" t="s">
        <v>93</v>
      </c>
      <c r="D29" s="68" t="s">
        <v>94</v>
      </c>
      <c r="E29" s="69">
        <v>25</v>
      </c>
      <c r="F29" s="70"/>
      <c r="G29" s="71"/>
      <c r="H29" s="71"/>
      <c r="I29" s="71"/>
      <c r="J29" s="108" t="s">
        <v>70</v>
      </c>
      <c r="K29" s="107"/>
      <c r="L29" s="110">
        <f t="shared" si="3"/>
        <v>0</v>
      </c>
      <c r="M29" s="111">
        <f t="shared" si="0"/>
        <v>0</v>
      </c>
      <c r="N29" s="112"/>
      <c r="O29" s="110">
        <f t="shared" si="4"/>
        <v>0</v>
      </c>
      <c r="P29" s="113">
        <f t="shared" si="1"/>
        <v>0</v>
      </c>
      <c r="Q29" s="112"/>
      <c r="R29" s="110">
        <f t="shared" si="5"/>
        <v>0</v>
      </c>
      <c r="S29" s="113">
        <f t="shared" si="2"/>
        <v>0</v>
      </c>
    </row>
    <row r="30" spans="1:19" ht="30">
      <c r="A30" s="65"/>
      <c r="B30" s="61">
        <v>21</v>
      </c>
      <c r="C30" s="62" t="s">
        <v>95</v>
      </c>
      <c r="D30" s="63" t="s">
        <v>96</v>
      </c>
      <c r="E30" s="64">
        <v>40</v>
      </c>
      <c r="F30" s="72"/>
      <c r="G30" s="60"/>
      <c r="H30" s="60"/>
      <c r="I30" s="60"/>
      <c r="J30" s="103"/>
      <c r="K30" s="109"/>
      <c r="L30" s="104">
        <f t="shared" si="3"/>
        <v>0</v>
      </c>
      <c r="M30" s="105">
        <f t="shared" si="0"/>
        <v>0</v>
      </c>
      <c r="O30" s="104">
        <f t="shared" si="4"/>
        <v>0</v>
      </c>
      <c r="P30" s="106">
        <f t="shared" si="1"/>
        <v>0</v>
      </c>
      <c r="R30" s="104">
        <f t="shared" si="5"/>
        <v>0</v>
      </c>
      <c r="S30" s="106">
        <f t="shared" si="2"/>
        <v>0</v>
      </c>
    </row>
    <row r="31" spans="1:19" ht="60">
      <c r="A31" s="65"/>
      <c r="B31" s="61">
        <v>22</v>
      </c>
      <c r="C31" s="62" t="s">
        <v>97</v>
      </c>
      <c r="D31" s="63" t="s">
        <v>98</v>
      </c>
      <c r="E31" s="64">
        <v>15</v>
      </c>
      <c r="F31" s="59"/>
      <c r="G31" s="60"/>
      <c r="H31" s="60"/>
      <c r="I31" s="60"/>
      <c r="J31" s="103"/>
      <c r="K31" s="109"/>
      <c r="L31" s="104">
        <f t="shared" si="3"/>
        <v>0</v>
      </c>
      <c r="M31" s="105">
        <f t="shared" si="0"/>
        <v>0</v>
      </c>
      <c r="O31" s="104">
        <f t="shared" si="4"/>
        <v>0</v>
      </c>
      <c r="P31" s="106">
        <f t="shared" si="1"/>
        <v>0</v>
      </c>
      <c r="R31" s="104">
        <f t="shared" si="5"/>
        <v>0</v>
      </c>
      <c r="S31" s="106">
        <f t="shared" si="2"/>
        <v>0</v>
      </c>
    </row>
    <row r="32" spans="1:19" ht="25.15" customHeight="1">
      <c r="B32" s="66">
        <v>23</v>
      </c>
      <c r="C32" s="67" t="s">
        <v>99</v>
      </c>
      <c r="D32" s="68" t="s">
        <v>100</v>
      </c>
      <c r="E32" s="69">
        <v>789</v>
      </c>
      <c r="F32" s="70"/>
      <c r="G32" s="71"/>
      <c r="H32" s="71"/>
      <c r="I32" s="71"/>
      <c r="J32" s="108" t="s">
        <v>70</v>
      </c>
      <c r="L32" s="110">
        <f t="shared" si="3"/>
        <v>0</v>
      </c>
      <c r="M32" s="111">
        <f t="shared" si="0"/>
        <v>0</v>
      </c>
      <c r="N32" s="112"/>
      <c r="O32" s="110">
        <f t="shared" si="4"/>
        <v>0</v>
      </c>
      <c r="P32" s="113">
        <f t="shared" si="1"/>
        <v>0</v>
      </c>
      <c r="Q32" s="112"/>
      <c r="R32" s="110">
        <f t="shared" si="5"/>
        <v>0</v>
      </c>
      <c r="S32" s="113">
        <f t="shared" si="2"/>
        <v>0</v>
      </c>
    </row>
    <row r="33" spans="1:19" s="38" customFormat="1" ht="27" customHeight="1">
      <c r="B33" s="52" t="s">
        <v>101</v>
      </c>
      <c r="C33" s="53"/>
      <c r="D33" s="53"/>
      <c r="E33" s="53"/>
      <c r="F33" s="76"/>
      <c r="G33" s="53"/>
      <c r="H33" s="53"/>
      <c r="I33" s="53"/>
      <c r="J33" s="96"/>
      <c r="K33" s="40"/>
      <c r="L33" s="114"/>
      <c r="M33" s="115"/>
      <c r="N33" s="116"/>
      <c r="O33" s="114"/>
      <c r="P33" s="117"/>
      <c r="Q33" s="116"/>
      <c r="R33" s="114"/>
      <c r="S33" s="117"/>
    </row>
    <row r="34" spans="1:19" ht="30.75" customHeight="1" outlineLevel="1">
      <c r="A34" s="54"/>
      <c r="B34" s="55">
        <v>1</v>
      </c>
      <c r="C34" s="56" t="s">
        <v>59</v>
      </c>
      <c r="D34" s="57" t="s">
        <v>60</v>
      </c>
      <c r="E34" s="58">
        <v>1</v>
      </c>
      <c r="F34" s="59"/>
      <c r="G34" s="77"/>
      <c r="H34" s="77"/>
      <c r="I34" s="77"/>
      <c r="J34" s="99"/>
      <c r="L34" s="104">
        <f>G32-G34</f>
        <v>0</v>
      </c>
      <c r="M34" s="105">
        <f t="shared" ref="M34:M56" si="6">$G$5*L34*60/E34</f>
        <v>0</v>
      </c>
      <c r="O34" s="104">
        <f>H32-H34</f>
        <v>0</v>
      </c>
      <c r="P34" s="106">
        <f t="shared" ref="P34:P56" si="7">$H$5*O34*60/E34</f>
        <v>0</v>
      </c>
      <c r="R34" s="104">
        <f>I32-I34</f>
        <v>0</v>
      </c>
      <c r="S34" s="106">
        <f t="shared" ref="S34:S56" si="8">$I$5*R34*60/E34</f>
        <v>0</v>
      </c>
    </row>
    <row r="35" spans="1:19" ht="30.75" customHeight="1" outlineLevel="1">
      <c r="A35" s="54"/>
      <c r="B35" s="61">
        <v>2</v>
      </c>
      <c r="C35" s="62" t="s">
        <v>61</v>
      </c>
      <c r="D35" s="63" t="s">
        <v>62</v>
      </c>
      <c r="E35" s="64">
        <v>20</v>
      </c>
      <c r="F35" s="59"/>
      <c r="G35" s="60"/>
      <c r="H35" s="60"/>
      <c r="I35" s="60"/>
      <c r="J35" s="103"/>
      <c r="L35" s="104">
        <f t="shared" ref="L35:L56" si="9">G34-G35</f>
        <v>0</v>
      </c>
      <c r="M35" s="105">
        <f t="shared" si="6"/>
        <v>0</v>
      </c>
      <c r="O35" s="104">
        <f t="shared" ref="O35:O56" si="10">H34-H35</f>
        <v>0</v>
      </c>
      <c r="P35" s="106">
        <f t="shared" si="7"/>
        <v>0</v>
      </c>
      <c r="R35" s="104">
        <f t="shared" ref="R35:R56" si="11">I34-I35</f>
        <v>0</v>
      </c>
      <c r="S35" s="106">
        <f t="shared" si="8"/>
        <v>0</v>
      </c>
    </row>
    <row r="36" spans="1:19" ht="30.75" customHeight="1" outlineLevel="1">
      <c r="A36" s="54"/>
      <c r="B36" s="61">
        <v>3</v>
      </c>
      <c r="C36" s="62" t="s">
        <v>102</v>
      </c>
      <c r="D36" s="63" t="s">
        <v>60</v>
      </c>
      <c r="E36" s="64">
        <v>5</v>
      </c>
      <c r="F36" s="59"/>
      <c r="G36" s="60"/>
      <c r="H36" s="60"/>
      <c r="I36" s="60"/>
      <c r="J36" s="103"/>
      <c r="L36" s="104">
        <f t="shared" si="9"/>
        <v>0</v>
      </c>
      <c r="M36" s="105">
        <f t="shared" si="6"/>
        <v>0</v>
      </c>
      <c r="O36" s="104">
        <f t="shared" si="10"/>
        <v>0</v>
      </c>
      <c r="P36" s="106">
        <f t="shared" si="7"/>
        <v>0</v>
      </c>
      <c r="R36" s="104">
        <f t="shared" si="11"/>
        <v>0</v>
      </c>
      <c r="S36" s="106">
        <f t="shared" si="8"/>
        <v>0</v>
      </c>
    </row>
    <row r="37" spans="1:19" ht="30.75" customHeight="1" outlineLevel="1">
      <c r="A37" s="65"/>
      <c r="B37" s="61">
        <v>4</v>
      </c>
      <c r="C37" s="62" t="s">
        <v>64</v>
      </c>
      <c r="D37" s="63" t="s">
        <v>65</v>
      </c>
      <c r="E37" s="64">
        <v>40</v>
      </c>
      <c r="F37" s="59"/>
      <c r="G37" s="60"/>
      <c r="H37" s="60"/>
      <c r="I37" s="60"/>
      <c r="J37" s="103"/>
      <c r="L37" s="104">
        <f t="shared" si="9"/>
        <v>0</v>
      </c>
      <c r="M37" s="105">
        <f t="shared" si="6"/>
        <v>0</v>
      </c>
      <c r="O37" s="104">
        <f t="shared" si="10"/>
        <v>0</v>
      </c>
      <c r="P37" s="106">
        <f t="shared" si="7"/>
        <v>0</v>
      </c>
      <c r="R37" s="104">
        <f t="shared" si="11"/>
        <v>0</v>
      </c>
      <c r="S37" s="106">
        <f t="shared" si="8"/>
        <v>0</v>
      </c>
    </row>
    <row r="38" spans="1:19" outlineLevel="1">
      <c r="A38" s="65"/>
      <c r="B38" s="61">
        <v>5</v>
      </c>
      <c r="C38" s="62" t="s">
        <v>66</v>
      </c>
      <c r="D38" s="63" t="s">
        <v>67</v>
      </c>
      <c r="E38" s="64">
        <v>2</v>
      </c>
      <c r="F38" s="59"/>
      <c r="G38" s="60"/>
      <c r="H38" s="60"/>
      <c r="I38" s="60"/>
      <c r="J38" s="103"/>
      <c r="L38" s="104">
        <f t="shared" si="9"/>
        <v>0</v>
      </c>
      <c r="M38" s="105">
        <f t="shared" si="6"/>
        <v>0</v>
      </c>
      <c r="O38" s="104">
        <f t="shared" si="10"/>
        <v>0</v>
      </c>
      <c r="P38" s="106">
        <f t="shared" si="7"/>
        <v>0</v>
      </c>
      <c r="R38" s="104">
        <f t="shared" si="11"/>
        <v>0</v>
      </c>
      <c r="S38" s="106">
        <f t="shared" si="8"/>
        <v>0</v>
      </c>
    </row>
    <row r="39" spans="1:19" ht="28.9" customHeight="1" outlineLevel="1">
      <c r="B39" s="66">
        <v>6</v>
      </c>
      <c r="C39" s="67" t="s">
        <v>68</v>
      </c>
      <c r="D39" s="68" t="s">
        <v>69</v>
      </c>
      <c r="E39" s="69">
        <v>83</v>
      </c>
      <c r="F39" s="70"/>
      <c r="G39" s="71"/>
      <c r="H39" s="71"/>
      <c r="I39" s="71"/>
      <c r="J39" s="108"/>
      <c r="K39" s="38"/>
      <c r="L39" s="110">
        <f t="shared" si="9"/>
        <v>0</v>
      </c>
      <c r="M39" s="111">
        <f t="shared" si="6"/>
        <v>0</v>
      </c>
      <c r="N39" s="112"/>
      <c r="O39" s="110">
        <f t="shared" si="10"/>
        <v>0</v>
      </c>
      <c r="P39" s="113">
        <f t="shared" si="7"/>
        <v>0</v>
      </c>
      <c r="Q39" s="112"/>
      <c r="R39" s="110">
        <f t="shared" si="11"/>
        <v>0</v>
      </c>
      <c r="S39" s="113">
        <f t="shared" si="8"/>
        <v>0</v>
      </c>
    </row>
    <row r="40" spans="1:19" ht="36.75" customHeight="1" outlineLevel="1">
      <c r="A40" s="65"/>
      <c r="B40" s="61">
        <v>7</v>
      </c>
      <c r="C40" s="78" t="s">
        <v>71</v>
      </c>
      <c r="D40" s="63" t="s">
        <v>72</v>
      </c>
      <c r="E40" s="64">
        <v>30</v>
      </c>
      <c r="F40" s="72"/>
      <c r="G40" s="60"/>
      <c r="H40" s="60"/>
      <c r="I40" s="60"/>
      <c r="J40" s="103"/>
      <c r="L40" s="104">
        <f t="shared" si="9"/>
        <v>0</v>
      </c>
      <c r="M40" s="105">
        <f t="shared" si="6"/>
        <v>0</v>
      </c>
      <c r="O40" s="104">
        <f t="shared" si="10"/>
        <v>0</v>
      </c>
      <c r="P40" s="106">
        <f t="shared" si="7"/>
        <v>0</v>
      </c>
      <c r="R40" s="104">
        <f t="shared" si="11"/>
        <v>0</v>
      </c>
      <c r="S40" s="106">
        <f t="shared" si="8"/>
        <v>0</v>
      </c>
    </row>
    <row r="41" spans="1:19" ht="36.75" customHeight="1" outlineLevel="1">
      <c r="B41" s="61">
        <v>8</v>
      </c>
      <c r="C41" s="62" t="s">
        <v>73</v>
      </c>
      <c r="D41" s="63" t="s">
        <v>74</v>
      </c>
      <c r="E41" s="64">
        <v>5</v>
      </c>
      <c r="F41" s="59"/>
      <c r="G41" s="60"/>
      <c r="H41" s="60"/>
      <c r="I41" s="60"/>
      <c r="J41" s="103"/>
      <c r="L41" s="104">
        <f t="shared" si="9"/>
        <v>0</v>
      </c>
      <c r="M41" s="105">
        <f t="shared" si="6"/>
        <v>0</v>
      </c>
      <c r="O41" s="104">
        <f t="shared" si="10"/>
        <v>0</v>
      </c>
      <c r="P41" s="106">
        <f t="shared" si="7"/>
        <v>0</v>
      </c>
      <c r="R41" s="104">
        <f t="shared" si="11"/>
        <v>0</v>
      </c>
      <c r="S41" s="106">
        <f t="shared" si="8"/>
        <v>0</v>
      </c>
    </row>
    <row r="42" spans="1:19" ht="31.15" customHeight="1" outlineLevel="1">
      <c r="B42" s="66">
        <v>9</v>
      </c>
      <c r="C42" s="67" t="s">
        <v>75</v>
      </c>
      <c r="D42" s="68" t="s">
        <v>76</v>
      </c>
      <c r="E42" s="69">
        <v>105</v>
      </c>
      <c r="F42" s="70"/>
      <c r="G42" s="71"/>
      <c r="H42" s="71"/>
      <c r="I42" s="71"/>
      <c r="J42" s="108"/>
      <c r="L42" s="110">
        <f t="shared" si="9"/>
        <v>0</v>
      </c>
      <c r="M42" s="111">
        <f t="shared" si="6"/>
        <v>0</v>
      </c>
      <c r="N42" s="112"/>
      <c r="O42" s="110">
        <f t="shared" si="10"/>
        <v>0</v>
      </c>
      <c r="P42" s="113">
        <f t="shared" si="7"/>
        <v>0</v>
      </c>
      <c r="Q42" s="112"/>
      <c r="R42" s="110">
        <f t="shared" si="11"/>
        <v>0</v>
      </c>
      <c r="S42" s="113">
        <f t="shared" si="8"/>
        <v>0</v>
      </c>
    </row>
    <row r="43" spans="1:19" ht="60" outlineLevel="1">
      <c r="A43" s="65"/>
      <c r="B43" s="61">
        <v>10</v>
      </c>
      <c r="C43" s="62" t="s">
        <v>77</v>
      </c>
      <c r="D43" s="63" t="s">
        <v>78</v>
      </c>
      <c r="E43" s="64">
        <v>30</v>
      </c>
      <c r="F43" s="72"/>
      <c r="G43" s="60"/>
      <c r="H43" s="60"/>
      <c r="I43" s="60"/>
      <c r="J43" s="103"/>
      <c r="K43" s="107"/>
      <c r="L43" s="104">
        <f t="shared" si="9"/>
        <v>0</v>
      </c>
      <c r="M43" s="105">
        <f t="shared" si="6"/>
        <v>0</v>
      </c>
      <c r="O43" s="104">
        <f t="shared" si="10"/>
        <v>0</v>
      </c>
      <c r="P43" s="106">
        <f t="shared" si="7"/>
        <v>0</v>
      </c>
      <c r="R43" s="104">
        <f t="shared" si="11"/>
        <v>0</v>
      </c>
      <c r="S43" s="106">
        <f t="shared" si="8"/>
        <v>0</v>
      </c>
    </row>
    <row r="44" spans="1:19" ht="30" outlineLevel="1">
      <c r="A44" s="65"/>
      <c r="B44" s="61">
        <v>11</v>
      </c>
      <c r="C44" s="62" t="s">
        <v>79</v>
      </c>
      <c r="D44" s="63" t="s">
        <v>80</v>
      </c>
      <c r="E44" s="64">
        <v>10</v>
      </c>
      <c r="F44" s="59"/>
      <c r="G44" s="60"/>
      <c r="H44" s="60"/>
      <c r="I44" s="60"/>
      <c r="J44" s="103"/>
      <c r="K44" s="107"/>
      <c r="L44" s="104">
        <f t="shared" si="9"/>
        <v>0</v>
      </c>
      <c r="M44" s="105">
        <f t="shared" si="6"/>
        <v>0</v>
      </c>
      <c r="O44" s="104">
        <f t="shared" si="10"/>
        <v>0</v>
      </c>
      <c r="P44" s="106">
        <f t="shared" si="7"/>
        <v>0</v>
      </c>
      <c r="R44" s="104">
        <f t="shared" si="11"/>
        <v>0</v>
      </c>
      <c r="S44" s="106">
        <f t="shared" si="8"/>
        <v>0</v>
      </c>
    </row>
    <row r="45" spans="1:19" ht="28.9" customHeight="1" outlineLevel="1">
      <c r="B45" s="66">
        <v>12</v>
      </c>
      <c r="C45" s="67" t="s">
        <v>81</v>
      </c>
      <c r="D45" s="68" t="s">
        <v>82</v>
      </c>
      <c r="E45" s="69">
        <v>5</v>
      </c>
      <c r="F45" s="70"/>
      <c r="G45" s="71"/>
      <c r="H45" s="71"/>
      <c r="I45" s="71"/>
      <c r="J45" s="108"/>
      <c r="K45" s="109"/>
      <c r="L45" s="110">
        <f t="shared" si="9"/>
        <v>0</v>
      </c>
      <c r="M45" s="111">
        <f t="shared" si="6"/>
        <v>0</v>
      </c>
      <c r="N45" s="112"/>
      <c r="O45" s="110">
        <f t="shared" si="10"/>
        <v>0</v>
      </c>
      <c r="P45" s="113">
        <f t="shared" si="7"/>
        <v>0</v>
      </c>
      <c r="Q45" s="112"/>
      <c r="R45" s="110">
        <f t="shared" si="11"/>
        <v>0</v>
      </c>
      <c r="S45" s="113">
        <f t="shared" si="8"/>
        <v>0</v>
      </c>
    </row>
    <row r="46" spans="1:19" ht="30" outlineLevel="1">
      <c r="B46" s="61">
        <v>13</v>
      </c>
      <c r="C46" s="62" t="s">
        <v>83</v>
      </c>
      <c r="D46" s="63" t="s">
        <v>84</v>
      </c>
      <c r="E46" s="64">
        <v>20</v>
      </c>
      <c r="F46" s="72"/>
      <c r="G46" s="60"/>
      <c r="H46" s="60"/>
      <c r="I46" s="60"/>
      <c r="J46" s="103"/>
      <c r="K46" s="109"/>
      <c r="L46" s="104">
        <f t="shared" si="9"/>
        <v>0</v>
      </c>
      <c r="M46" s="105">
        <f t="shared" si="6"/>
        <v>0</v>
      </c>
      <c r="O46" s="104">
        <f t="shared" si="10"/>
        <v>0</v>
      </c>
      <c r="P46" s="106">
        <f t="shared" si="7"/>
        <v>0</v>
      </c>
      <c r="R46" s="104">
        <f t="shared" si="11"/>
        <v>0</v>
      </c>
      <c r="S46" s="106">
        <f t="shared" si="8"/>
        <v>0</v>
      </c>
    </row>
    <row r="47" spans="1:19" ht="37.5" outlineLevel="1">
      <c r="A47" s="65"/>
      <c r="B47" s="61">
        <v>14</v>
      </c>
      <c r="C47" s="62" t="s">
        <v>85</v>
      </c>
      <c r="D47" s="63" t="s">
        <v>86</v>
      </c>
      <c r="E47" s="64">
        <v>20</v>
      </c>
      <c r="F47" s="59"/>
      <c r="G47" s="60"/>
      <c r="H47" s="60"/>
      <c r="I47" s="60"/>
      <c r="J47" s="103"/>
      <c r="L47" s="104">
        <f t="shared" si="9"/>
        <v>0</v>
      </c>
      <c r="M47" s="105">
        <f t="shared" si="6"/>
        <v>0</v>
      </c>
      <c r="O47" s="104">
        <f t="shared" si="10"/>
        <v>0</v>
      </c>
      <c r="P47" s="106">
        <f t="shared" si="7"/>
        <v>0</v>
      </c>
      <c r="R47" s="104">
        <f t="shared" si="11"/>
        <v>0</v>
      </c>
      <c r="S47" s="106">
        <f t="shared" si="8"/>
        <v>0</v>
      </c>
    </row>
    <row r="48" spans="1:19" outlineLevel="1">
      <c r="B48" s="61">
        <v>15</v>
      </c>
      <c r="C48" s="62" t="s">
        <v>87</v>
      </c>
      <c r="D48" s="63" t="s">
        <v>67</v>
      </c>
      <c r="E48" s="64">
        <v>5</v>
      </c>
      <c r="F48" s="59"/>
      <c r="G48" s="60"/>
      <c r="H48" s="60"/>
      <c r="I48" s="60"/>
      <c r="J48" s="103"/>
      <c r="L48" s="104">
        <f t="shared" si="9"/>
        <v>0</v>
      </c>
      <c r="M48" s="105">
        <f t="shared" si="6"/>
        <v>0</v>
      </c>
      <c r="O48" s="104">
        <f t="shared" si="10"/>
        <v>0</v>
      </c>
      <c r="P48" s="106">
        <f t="shared" si="7"/>
        <v>0</v>
      </c>
      <c r="R48" s="104">
        <f t="shared" si="11"/>
        <v>0</v>
      </c>
      <c r="S48" s="106">
        <f t="shared" si="8"/>
        <v>0</v>
      </c>
    </row>
    <row r="49" spans="1:19" ht="27" customHeight="1" outlineLevel="1">
      <c r="B49" s="66">
        <v>16</v>
      </c>
      <c r="C49" s="67" t="s">
        <v>88</v>
      </c>
      <c r="D49" s="68" t="s">
        <v>76</v>
      </c>
      <c r="E49" s="69">
        <v>125</v>
      </c>
      <c r="F49" s="70"/>
      <c r="G49" s="71"/>
      <c r="H49" s="71"/>
      <c r="I49" s="71"/>
      <c r="J49" s="108"/>
      <c r="L49" s="110">
        <f t="shared" si="9"/>
        <v>0</v>
      </c>
      <c r="M49" s="111">
        <f t="shared" si="6"/>
        <v>0</v>
      </c>
      <c r="N49" s="112"/>
      <c r="O49" s="110">
        <f t="shared" si="10"/>
        <v>0</v>
      </c>
      <c r="P49" s="113">
        <f t="shared" si="7"/>
        <v>0</v>
      </c>
      <c r="Q49" s="112"/>
      <c r="R49" s="110">
        <f t="shared" si="11"/>
        <v>0</v>
      </c>
      <c r="S49" s="113">
        <f t="shared" si="8"/>
        <v>0</v>
      </c>
    </row>
    <row r="50" spans="1:19" outlineLevel="1">
      <c r="A50" s="65"/>
      <c r="B50" s="61">
        <v>17</v>
      </c>
      <c r="C50" s="62" t="s">
        <v>89</v>
      </c>
      <c r="D50" s="63" t="s">
        <v>90</v>
      </c>
      <c r="E50" s="64">
        <v>30</v>
      </c>
      <c r="F50" s="72"/>
      <c r="G50" s="60"/>
      <c r="H50" s="60"/>
      <c r="I50" s="60"/>
      <c r="J50" s="103"/>
      <c r="L50" s="104">
        <f t="shared" si="9"/>
        <v>0</v>
      </c>
      <c r="M50" s="105">
        <f t="shared" si="6"/>
        <v>0</v>
      </c>
      <c r="O50" s="104">
        <f t="shared" si="10"/>
        <v>0</v>
      </c>
      <c r="P50" s="106">
        <f t="shared" si="7"/>
        <v>0</v>
      </c>
      <c r="R50" s="104">
        <f t="shared" si="11"/>
        <v>0</v>
      </c>
      <c r="S50" s="106">
        <f t="shared" si="8"/>
        <v>0</v>
      </c>
    </row>
    <row r="51" spans="1:19" ht="60" outlineLevel="1">
      <c r="B51" s="61">
        <v>18</v>
      </c>
      <c r="C51" s="62" t="s">
        <v>91</v>
      </c>
      <c r="D51" s="63" t="s">
        <v>92</v>
      </c>
      <c r="E51" s="64">
        <v>30</v>
      </c>
      <c r="F51" s="59"/>
      <c r="G51" s="60"/>
      <c r="H51" s="60"/>
      <c r="I51" s="60"/>
      <c r="J51" s="103"/>
      <c r="L51" s="104">
        <f t="shared" si="9"/>
        <v>0</v>
      </c>
      <c r="M51" s="105">
        <f t="shared" si="6"/>
        <v>0</v>
      </c>
      <c r="O51" s="104">
        <f t="shared" si="10"/>
        <v>0</v>
      </c>
      <c r="P51" s="106">
        <f t="shared" si="7"/>
        <v>0</v>
      </c>
      <c r="R51" s="104">
        <f t="shared" si="11"/>
        <v>0</v>
      </c>
      <c r="S51" s="106">
        <f t="shared" si="8"/>
        <v>0</v>
      </c>
    </row>
    <row r="52" spans="1:19" outlineLevel="1">
      <c r="B52" s="61">
        <v>19</v>
      </c>
      <c r="C52" s="62" t="s">
        <v>87</v>
      </c>
      <c r="D52" s="63" t="s">
        <v>67</v>
      </c>
      <c r="E52" s="64">
        <v>5</v>
      </c>
      <c r="F52" s="59"/>
      <c r="G52" s="60"/>
      <c r="H52" s="60"/>
      <c r="I52" s="60"/>
      <c r="J52" s="103"/>
      <c r="L52" s="104">
        <f t="shared" si="9"/>
        <v>0</v>
      </c>
      <c r="M52" s="105">
        <f t="shared" si="6"/>
        <v>0</v>
      </c>
      <c r="O52" s="104">
        <f t="shared" si="10"/>
        <v>0</v>
      </c>
      <c r="P52" s="106">
        <f t="shared" si="7"/>
        <v>0</v>
      </c>
      <c r="R52" s="104">
        <f t="shared" si="11"/>
        <v>0</v>
      </c>
      <c r="S52" s="106">
        <f t="shared" si="8"/>
        <v>0</v>
      </c>
    </row>
    <row r="53" spans="1:19" ht="28.15" customHeight="1" outlineLevel="1">
      <c r="B53" s="66">
        <v>20</v>
      </c>
      <c r="C53" s="67" t="s">
        <v>93</v>
      </c>
      <c r="D53" s="68" t="s">
        <v>94</v>
      </c>
      <c r="E53" s="69">
        <v>25</v>
      </c>
      <c r="F53" s="70"/>
      <c r="G53" s="71"/>
      <c r="H53" s="71"/>
      <c r="I53" s="71"/>
      <c r="J53" s="108"/>
      <c r="K53" s="109"/>
      <c r="L53" s="110">
        <f t="shared" si="9"/>
        <v>0</v>
      </c>
      <c r="M53" s="111">
        <f t="shared" si="6"/>
        <v>0</v>
      </c>
      <c r="N53" s="112"/>
      <c r="O53" s="110">
        <f t="shared" si="10"/>
        <v>0</v>
      </c>
      <c r="P53" s="113">
        <f t="shared" si="7"/>
        <v>0</v>
      </c>
      <c r="Q53" s="112"/>
      <c r="R53" s="110">
        <f t="shared" si="11"/>
        <v>0</v>
      </c>
      <c r="S53" s="113">
        <f t="shared" si="8"/>
        <v>0</v>
      </c>
    </row>
    <row r="54" spans="1:19" ht="30" outlineLevel="1">
      <c r="A54" s="65"/>
      <c r="B54" s="61">
        <v>21</v>
      </c>
      <c r="C54" s="62" t="s">
        <v>95</v>
      </c>
      <c r="D54" s="63" t="s">
        <v>96</v>
      </c>
      <c r="E54" s="64">
        <v>40</v>
      </c>
      <c r="F54" s="72"/>
      <c r="G54" s="60"/>
      <c r="H54" s="60"/>
      <c r="I54" s="60"/>
      <c r="J54" s="103"/>
      <c r="L54" s="104">
        <f t="shared" si="9"/>
        <v>0</v>
      </c>
      <c r="M54" s="105">
        <f t="shared" si="6"/>
        <v>0</v>
      </c>
      <c r="O54" s="104">
        <f t="shared" si="10"/>
        <v>0</v>
      </c>
      <c r="P54" s="106">
        <f t="shared" si="7"/>
        <v>0</v>
      </c>
      <c r="R54" s="104">
        <f t="shared" si="11"/>
        <v>0</v>
      </c>
      <c r="S54" s="106">
        <f t="shared" si="8"/>
        <v>0</v>
      </c>
    </row>
    <row r="55" spans="1:19" ht="60" outlineLevel="1">
      <c r="B55" s="61">
        <v>22</v>
      </c>
      <c r="C55" s="62" t="s">
        <v>97</v>
      </c>
      <c r="D55" s="63" t="s">
        <v>98</v>
      </c>
      <c r="E55" s="64">
        <v>15</v>
      </c>
      <c r="F55" s="59"/>
      <c r="G55" s="60"/>
      <c r="H55" s="60"/>
      <c r="I55" s="60"/>
      <c r="J55" s="103"/>
      <c r="L55" s="104">
        <f t="shared" si="9"/>
        <v>0</v>
      </c>
      <c r="M55" s="105">
        <f t="shared" si="6"/>
        <v>0</v>
      </c>
      <c r="O55" s="104">
        <f t="shared" si="10"/>
        <v>0</v>
      </c>
      <c r="P55" s="106">
        <f t="shared" si="7"/>
        <v>0</v>
      </c>
      <c r="R55" s="104">
        <f t="shared" si="11"/>
        <v>0</v>
      </c>
      <c r="S55" s="106">
        <f t="shared" si="8"/>
        <v>0</v>
      </c>
    </row>
    <row r="56" spans="1:19" ht="24" customHeight="1" outlineLevel="1">
      <c r="B56" s="66">
        <v>23</v>
      </c>
      <c r="C56" s="67" t="s">
        <v>99</v>
      </c>
      <c r="D56" s="68" t="s">
        <v>100</v>
      </c>
      <c r="E56" s="69">
        <v>789</v>
      </c>
      <c r="F56" s="70"/>
      <c r="G56" s="71"/>
      <c r="H56" s="71"/>
      <c r="I56" s="71"/>
      <c r="J56" s="108"/>
      <c r="L56" s="110">
        <f t="shared" si="9"/>
        <v>0</v>
      </c>
      <c r="M56" s="111">
        <f t="shared" si="6"/>
        <v>0</v>
      </c>
      <c r="N56" s="112"/>
      <c r="O56" s="110">
        <f t="shared" si="10"/>
        <v>0</v>
      </c>
      <c r="P56" s="113">
        <f t="shared" si="7"/>
        <v>0</v>
      </c>
      <c r="Q56" s="112"/>
      <c r="R56" s="110">
        <f t="shared" si="11"/>
        <v>0</v>
      </c>
      <c r="S56" s="113">
        <f t="shared" si="8"/>
        <v>0</v>
      </c>
    </row>
    <row r="57" spans="1:19" s="38" customFormat="1" ht="25.9" customHeight="1">
      <c r="B57" s="52" t="s">
        <v>103</v>
      </c>
      <c r="C57" s="53"/>
      <c r="D57" s="53"/>
      <c r="E57" s="53"/>
      <c r="F57" s="76"/>
      <c r="G57" s="53"/>
      <c r="H57" s="53"/>
      <c r="I57" s="53"/>
      <c r="J57" s="96"/>
      <c r="K57" s="40"/>
      <c r="L57" s="114"/>
      <c r="M57" s="115"/>
      <c r="N57" s="116"/>
      <c r="O57" s="114"/>
      <c r="P57" s="117"/>
      <c r="Q57" s="116"/>
      <c r="R57" s="114"/>
      <c r="S57" s="117"/>
    </row>
    <row r="58" spans="1:19" ht="22.15" customHeight="1" outlineLevel="1">
      <c r="A58" s="54"/>
      <c r="B58" s="55">
        <v>1</v>
      </c>
      <c r="C58" s="56" t="s">
        <v>59</v>
      </c>
      <c r="D58" s="57" t="s">
        <v>60</v>
      </c>
      <c r="E58" s="58">
        <v>1</v>
      </c>
      <c r="F58" s="59"/>
      <c r="G58" s="77"/>
      <c r="H58" s="77"/>
      <c r="I58" s="77"/>
      <c r="J58" s="99"/>
      <c r="K58" s="107"/>
      <c r="L58" s="104">
        <f>G56-G58</f>
        <v>0</v>
      </c>
      <c r="M58" s="105">
        <f t="shared" ref="M58:M80" si="12">$G$5*L58*60/E58</f>
        <v>0</v>
      </c>
      <c r="O58" s="104">
        <f>H56-H58</f>
        <v>0</v>
      </c>
      <c r="P58" s="106">
        <f t="shared" ref="P58:P80" si="13">$H$5*O58*60/E58</f>
        <v>0</v>
      </c>
      <c r="R58" s="104">
        <f>I56-I58</f>
        <v>0</v>
      </c>
      <c r="S58" s="106">
        <f t="shared" ref="S58:S80" si="14">$I$5*R58*60/E58</f>
        <v>0</v>
      </c>
    </row>
    <row r="59" spans="1:19" ht="43.15" customHeight="1" outlineLevel="1">
      <c r="A59" s="54"/>
      <c r="B59" s="61">
        <v>2</v>
      </c>
      <c r="C59" s="62" t="s">
        <v>61</v>
      </c>
      <c r="D59" s="63" t="s">
        <v>62</v>
      </c>
      <c r="E59" s="64">
        <v>20</v>
      </c>
      <c r="F59" s="59"/>
      <c r="G59" s="60"/>
      <c r="H59" s="60"/>
      <c r="I59" s="60"/>
      <c r="J59" s="103"/>
      <c r="K59" s="107"/>
      <c r="L59" s="104">
        <f t="shared" ref="L59:L80" si="15">G58-G59</f>
        <v>0</v>
      </c>
      <c r="M59" s="105">
        <f t="shared" si="12"/>
        <v>0</v>
      </c>
      <c r="O59" s="104">
        <f t="shared" ref="O59:O80" si="16">H58-H59</f>
        <v>0</v>
      </c>
      <c r="P59" s="106">
        <f t="shared" si="13"/>
        <v>0</v>
      </c>
      <c r="R59" s="104">
        <f t="shared" ref="R59:R80" si="17">I58-I59</f>
        <v>0</v>
      </c>
      <c r="S59" s="106">
        <f t="shared" si="14"/>
        <v>0</v>
      </c>
    </row>
    <row r="60" spans="1:19" ht="43.15" customHeight="1" outlineLevel="1">
      <c r="A60" s="54"/>
      <c r="B60" s="61">
        <v>3</v>
      </c>
      <c r="C60" s="62" t="s">
        <v>102</v>
      </c>
      <c r="D60" s="63" t="s">
        <v>60</v>
      </c>
      <c r="E60" s="64">
        <v>5</v>
      </c>
      <c r="F60" s="59"/>
      <c r="G60" s="60"/>
      <c r="H60" s="60"/>
      <c r="I60" s="60"/>
      <c r="J60" s="103"/>
      <c r="K60" s="109"/>
      <c r="L60" s="104">
        <f t="shared" si="15"/>
        <v>0</v>
      </c>
      <c r="M60" s="105">
        <f t="shared" si="12"/>
        <v>0</v>
      </c>
      <c r="O60" s="104">
        <f t="shared" si="16"/>
        <v>0</v>
      </c>
      <c r="P60" s="106">
        <f t="shared" si="13"/>
        <v>0</v>
      </c>
      <c r="R60" s="104">
        <f t="shared" si="17"/>
        <v>0</v>
      </c>
      <c r="S60" s="106">
        <f t="shared" si="14"/>
        <v>0</v>
      </c>
    </row>
    <row r="61" spans="1:19" ht="43.15" customHeight="1" outlineLevel="1">
      <c r="A61" s="65"/>
      <c r="B61" s="61">
        <v>4</v>
      </c>
      <c r="C61" s="62" t="s">
        <v>64</v>
      </c>
      <c r="D61" s="63" t="s">
        <v>65</v>
      </c>
      <c r="E61" s="64">
        <v>40</v>
      </c>
      <c r="F61" s="59"/>
      <c r="G61" s="60"/>
      <c r="H61" s="60"/>
      <c r="I61" s="60"/>
      <c r="J61" s="103"/>
      <c r="K61" s="109"/>
      <c r="L61" s="104">
        <f t="shared" si="15"/>
        <v>0</v>
      </c>
      <c r="M61" s="105">
        <f t="shared" si="12"/>
        <v>0</v>
      </c>
      <c r="O61" s="104">
        <f t="shared" si="16"/>
        <v>0</v>
      </c>
      <c r="P61" s="106">
        <f t="shared" si="13"/>
        <v>0</v>
      </c>
      <c r="R61" s="104">
        <f t="shared" si="17"/>
        <v>0</v>
      </c>
      <c r="S61" s="106">
        <f t="shared" si="14"/>
        <v>0</v>
      </c>
    </row>
    <row r="62" spans="1:19" ht="15" customHeight="1" outlineLevel="1">
      <c r="A62" s="65"/>
      <c r="B62" s="61">
        <v>5</v>
      </c>
      <c r="C62" s="62" t="s">
        <v>66</v>
      </c>
      <c r="D62" s="63" t="s">
        <v>67</v>
      </c>
      <c r="E62" s="64">
        <v>2</v>
      </c>
      <c r="F62" s="59"/>
      <c r="G62" s="60"/>
      <c r="H62" s="60"/>
      <c r="I62" s="60"/>
      <c r="J62" s="103"/>
      <c r="L62" s="104">
        <f t="shared" si="15"/>
        <v>0</v>
      </c>
      <c r="M62" s="105">
        <f t="shared" si="12"/>
        <v>0</v>
      </c>
      <c r="O62" s="104">
        <f t="shared" si="16"/>
        <v>0</v>
      </c>
      <c r="P62" s="106">
        <f t="shared" si="13"/>
        <v>0</v>
      </c>
      <c r="R62" s="104">
        <f t="shared" si="17"/>
        <v>0</v>
      </c>
      <c r="S62" s="106">
        <f t="shared" si="14"/>
        <v>0</v>
      </c>
    </row>
    <row r="63" spans="1:19" ht="22.15" customHeight="1" outlineLevel="1">
      <c r="B63" s="66">
        <v>6</v>
      </c>
      <c r="C63" s="67" t="s">
        <v>68</v>
      </c>
      <c r="D63" s="68" t="s">
        <v>69</v>
      </c>
      <c r="E63" s="69">
        <v>83</v>
      </c>
      <c r="F63" s="70"/>
      <c r="G63" s="71"/>
      <c r="H63" s="71"/>
      <c r="I63" s="71"/>
      <c r="J63" s="108"/>
      <c r="L63" s="110">
        <f t="shared" si="15"/>
        <v>0</v>
      </c>
      <c r="M63" s="111">
        <f t="shared" si="12"/>
        <v>0</v>
      </c>
      <c r="N63" s="112"/>
      <c r="O63" s="110">
        <f t="shared" si="16"/>
        <v>0</v>
      </c>
      <c r="P63" s="113">
        <f t="shared" si="13"/>
        <v>0</v>
      </c>
      <c r="Q63" s="112"/>
      <c r="R63" s="110">
        <f t="shared" si="17"/>
        <v>0</v>
      </c>
      <c r="S63" s="113">
        <f t="shared" si="14"/>
        <v>0</v>
      </c>
    </row>
    <row r="64" spans="1:19" ht="25.5" customHeight="1" outlineLevel="1">
      <c r="A64" s="65"/>
      <c r="B64" s="61">
        <v>7</v>
      </c>
      <c r="C64" s="62" t="s">
        <v>71</v>
      </c>
      <c r="D64" s="63" t="s">
        <v>72</v>
      </c>
      <c r="E64" s="64">
        <v>30</v>
      </c>
      <c r="F64" s="72"/>
      <c r="G64" s="60"/>
      <c r="H64" s="60"/>
      <c r="I64" s="60"/>
      <c r="J64" s="103"/>
      <c r="L64" s="104">
        <f t="shared" si="15"/>
        <v>0</v>
      </c>
      <c r="M64" s="105">
        <f t="shared" si="12"/>
        <v>0</v>
      </c>
      <c r="O64" s="104">
        <f t="shared" si="16"/>
        <v>0</v>
      </c>
      <c r="P64" s="106">
        <f t="shared" si="13"/>
        <v>0</v>
      </c>
      <c r="R64" s="104">
        <f t="shared" si="17"/>
        <v>0</v>
      </c>
      <c r="S64" s="106">
        <f t="shared" si="14"/>
        <v>0</v>
      </c>
    </row>
    <row r="65" spans="1:19" ht="31.5" customHeight="1" outlineLevel="1">
      <c r="B65" s="61">
        <v>8</v>
      </c>
      <c r="C65" s="62" t="s">
        <v>73</v>
      </c>
      <c r="D65" s="63" t="s">
        <v>74</v>
      </c>
      <c r="E65" s="64">
        <v>5</v>
      </c>
      <c r="F65" s="59"/>
      <c r="G65" s="60"/>
      <c r="H65" s="60"/>
      <c r="I65" s="60"/>
      <c r="J65" s="103"/>
      <c r="L65" s="104">
        <f t="shared" si="15"/>
        <v>0</v>
      </c>
      <c r="M65" s="105">
        <f t="shared" si="12"/>
        <v>0</v>
      </c>
      <c r="O65" s="104">
        <f t="shared" si="16"/>
        <v>0</v>
      </c>
      <c r="P65" s="106">
        <f t="shared" si="13"/>
        <v>0</v>
      </c>
      <c r="R65" s="104">
        <f t="shared" si="17"/>
        <v>0</v>
      </c>
      <c r="S65" s="106">
        <f t="shared" si="14"/>
        <v>0</v>
      </c>
    </row>
    <row r="66" spans="1:19" ht="22.9" customHeight="1" outlineLevel="1">
      <c r="B66" s="66">
        <v>9</v>
      </c>
      <c r="C66" s="67" t="s">
        <v>75</v>
      </c>
      <c r="D66" s="68" t="s">
        <v>76</v>
      </c>
      <c r="E66" s="69">
        <v>105</v>
      </c>
      <c r="F66" s="70"/>
      <c r="G66" s="71"/>
      <c r="H66" s="71"/>
      <c r="I66" s="71"/>
      <c r="J66" s="108"/>
      <c r="L66" s="110">
        <f t="shared" si="15"/>
        <v>0</v>
      </c>
      <c r="M66" s="111">
        <f t="shared" si="12"/>
        <v>0</v>
      </c>
      <c r="N66" s="112"/>
      <c r="O66" s="110">
        <f t="shared" si="16"/>
        <v>0</v>
      </c>
      <c r="P66" s="113">
        <f t="shared" si="13"/>
        <v>0</v>
      </c>
      <c r="Q66" s="112"/>
      <c r="R66" s="110">
        <f t="shared" si="17"/>
        <v>0</v>
      </c>
      <c r="S66" s="113">
        <f t="shared" si="14"/>
        <v>0</v>
      </c>
    </row>
    <row r="67" spans="1:19" ht="58.15" customHeight="1" outlineLevel="1">
      <c r="A67" s="65"/>
      <c r="B67" s="61">
        <v>10</v>
      </c>
      <c r="C67" s="62" t="s">
        <v>77</v>
      </c>
      <c r="D67" s="63" t="s">
        <v>78</v>
      </c>
      <c r="E67" s="64">
        <v>30</v>
      </c>
      <c r="F67" s="72"/>
      <c r="G67" s="60"/>
      <c r="H67" s="60"/>
      <c r="I67" s="60"/>
      <c r="J67" s="103"/>
      <c r="L67" s="104">
        <f t="shared" si="15"/>
        <v>0</v>
      </c>
      <c r="M67" s="105">
        <f t="shared" si="12"/>
        <v>0</v>
      </c>
      <c r="O67" s="104">
        <f t="shared" si="16"/>
        <v>0</v>
      </c>
      <c r="P67" s="106">
        <f t="shared" si="13"/>
        <v>0</v>
      </c>
      <c r="R67" s="104">
        <f t="shared" si="17"/>
        <v>0</v>
      </c>
      <c r="S67" s="106">
        <f t="shared" si="14"/>
        <v>0</v>
      </c>
    </row>
    <row r="68" spans="1:19" ht="30" outlineLevel="1">
      <c r="A68" s="65"/>
      <c r="B68" s="61">
        <v>11</v>
      </c>
      <c r="C68" s="62" t="s">
        <v>79</v>
      </c>
      <c r="D68" s="63" t="s">
        <v>80</v>
      </c>
      <c r="E68" s="64">
        <v>10</v>
      </c>
      <c r="F68" s="59"/>
      <c r="G68" s="60"/>
      <c r="H68" s="60"/>
      <c r="I68" s="60"/>
      <c r="J68" s="103"/>
      <c r="K68" s="109"/>
      <c r="L68" s="104">
        <f t="shared" si="15"/>
        <v>0</v>
      </c>
      <c r="M68" s="105">
        <f t="shared" si="12"/>
        <v>0</v>
      </c>
      <c r="O68" s="104">
        <f t="shared" si="16"/>
        <v>0</v>
      </c>
      <c r="P68" s="106">
        <f t="shared" si="13"/>
        <v>0</v>
      </c>
      <c r="R68" s="104">
        <f t="shared" si="17"/>
        <v>0</v>
      </c>
      <c r="S68" s="106">
        <f t="shared" si="14"/>
        <v>0</v>
      </c>
    </row>
    <row r="69" spans="1:19" ht="28.15" customHeight="1" outlineLevel="1">
      <c r="B69" s="66">
        <v>12</v>
      </c>
      <c r="C69" s="67" t="s">
        <v>81</v>
      </c>
      <c r="D69" s="68" t="s">
        <v>82</v>
      </c>
      <c r="E69" s="69">
        <v>5</v>
      </c>
      <c r="F69" s="70"/>
      <c r="G69" s="71"/>
      <c r="H69" s="71"/>
      <c r="I69" s="71"/>
      <c r="J69" s="108"/>
      <c r="L69" s="110">
        <f t="shared" si="15"/>
        <v>0</v>
      </c>
      <c r="M69" s="111">
        <f t="shared" si="12"/>
        <v>0</v>
      </c>
      <c r="N69" s="112"/>
      <c r="O69" s="110">
        <f t="shared" si="16"/>
        <v>0</v>
      </c>
      <c r="P69" s="113">
        <f t="shared" si="13"/>
        <v>0</v>
      </c>
      <c r="Q69" s="112"/>
      <c r="R69" s="110">
        <f t="shared" si="17"/>
        <v>0</v>
      </c>
      <c r="S69" s="113">
        <f t="shared" si="14"/>
        <v>0</v>
      </c>
    </row>
    <row r="70" spans="1:19" ht="30" outlineLevel="1">
      <c r="B70" s="61">
        <v>13</v>
      </c>
      <c r="C70" s="62" t="s">
        <v>83</v>
      </c>
      <c r="D70" s="63" t="s">
        <v>84</v>
      </c>
      <c r="E70" s="64">
        <v>20</v>
      </c>
      <c r="F70" s="72"/>
      <c r="G70" s="60"/>
      <c r="H70" s="60"/>
      <c r="I70" s="60"/>
      <c r="J70" s="103"/>
      <c r="L70" s="104">
        <f t="shared" si="15"/>
        <v>0</v>
      </c>
      <c r="M70" s="105">
        <f t="shared" si="12"/>
        <v>0</v>
      </c>
      <c r="O70" s="104">
        <f t="shared" si="16"/>
        <v>0</v>
      </c>
      <c r="P70" s="106">
        <f t="shared" si="13"/>
        <v>0</v>
      </c>
      <c r="R70" s="104">
        <f t="shared" si="17"/>
        <v>0</v>
      </c>
      <c r="S70" s="106">
        <f t="shared" si="14"/>
        <v>0</v>
      </c>
    </row>
    <row r="71" spans="1:19" ht="37.5" outlineLevel="1">
      <c r="A71" s="65"/>
      <c r="B71" s="61">
        <v>14</v>
      </c>
      <c r="C71" s="62" t="s">
        <v>85</v>
      </c>
      <c r="D71" s="63" t="s">
        <v>86</v>
      </c>
      <c r="E71" s="64">
        <v>20</v>
      </c>
      <c r="F71" s="59"/>
      <c r="G71" s="75"/>
      <c r="H71" s="118"/>
      <c r="I71" s="60"/>
      <c r="J71" s="103"/>
      <c r="L71" s="104">
        <f t="shared" si="15"/>
        <v>0</v>
      </c>
      <c r="M71" s="105">
        <f t="shared" si="12"/>
        <v>0</v>
      </c>
      <c r="O71" s="104">
        <f t="shared" si="16"/>
        <v>0</v>
      </c>
      <c r="P71" s="106">
        <f t="shared" si="13"/>
        <v>0</v>
      </c>
      <c r="R71" s="104">
        <f t="shared" si="17"/>
        <v>0</v>
      </c>
      <c r="S71" s="106">
        <f t="shared" si="14"/>
        <v>0</v>
      </c>
    </row>
    <row r="72" spans="1:19" outlineLevel="1">
      <c r="B72" s="61">
        <v>15</v>
      </c>
      <c r="C72" s="62" t="s">
        <v>87</v>
      </c>
      <c r="D72" s="63" t="s">
        <v>67</v>
      </c>
      <c r="E72" s="64">
        <v>5</v>
      </c>
      <c r="F72" s="59"/>
      <c r="G72" s="60"/>
      <c r="H72" s="60"/>
      <c r="I72" s="60"/>
      <c r="J72" s="103"/>
      <c r="L72" s="104">
        <f t="shared" si="15"/>
        <v>0</v>
      </c>
      <c r="M72" s="105">
        <f t="shared" si="12"/>
        <v>0</v>
      </c>
      <c r="O72" s="104">
        <f t="shared" si="16"/>
        <v>0</v>
      </c>
      <c r="P72" s="106">
        <f t="shared" si="13"/>
        <v>0</v>
      </c>
      <c r="R72" s="104">
        <f t="shared" si="17"/>
        <v>0</v>
      </c>
      <c r="S72" s="106">
        <f t="shared" si="14"/>
        <v>0</v>
      </c>
    </row>
    <row r="73" spans="1:19" ht="28.15" customHeight="1" outlineLevel="1">
      <c r="B73" s="66">
        <v>16</v>
      </c>
      <c r="C73" s="67" t="s">
        <v>88</v>
      </c>
      <c r="D73" s="68" t="s">
        <v>76</v>
      </c>
      <c r="E73" s="69">
        <v>125</v>
      </c>
      <c r="F73" s="70"/>
      <c r="G73" s="71"/>
      <c r="H73" s="71"/>
      <c r="I73" s="71"/>
      <c r="J73" s="108"/>
      <c r="L73" s="110">
        <f t="shared" si="15"/>
        <v>0</v>
      </c>
      <c r="M73" s="111">
        <f t="shared" si="12"/>
        <v>0</v>
      </c>
      <c r="N73" s="112"/>
      <c r="O73" s="110">
        <f t="shared" si="16"/>
        <v>0</v>
      </c>
      <c r="P73" s="113">
        <f t="shared" si="13"/>
        <v>0</v>
      </c>
      <c r="Q73" s="112"/>
      <c r="R73" s="110">
        <f t="shared" si="17"/>
        <v>0</v>
      </c>
      <c r="S73" s="113">
        <f t="shared" si="14"/>
        <v>0</v>
      </c>
    </row>
    <row r="74" spans="1:19" outlineLevel="1">
      <c r="A74" s="65"/>
      <c r="B74" s="61">
        <v>17</v>
      </c>
      <c r="C74" s="62" t="s">
        <v>89</v>
      </c>
      <c r="D74" s="63" t="s">
        <v>90</v>
      </c>
      <c r="E74" s="64">
        <v>30</v>
      </c>
      <c r="F74" s="72"/>
      <c r="G74" s="60"/>
      <c r="H74" s="60"/>
      <c r="I74" s="60"/>
      <c r="J74" s="103"/>
      <c r="L74" s="104">
        <f t="shared" si="15"/>
        <v>0</v>
      </c>
      <c r="M74" s="105">
        <f t="shared" si="12"/>
        <v>0</v>
      </c>
      <c r="O74" s="104">
        <f t="shared" si="16"/>
        <v>0</v>
      </c>
      <c r="P74" s="106">
        <f t="shared" si="13"/>
        <v>0</v>
      </c>
      <c r="R74" s="104">
        <f t="shared" si="17"/>
        <v>0</v>
      </c>
      <c r="S74" s="106">
        <f t="shared" si="14"/>
        <v>0</v>
      </c>
    </row>
    <row r="75" spans="1:19" ht="33" customHeight="1" outlineLevel="1">
      <c r="B75" s="61">
        <v>18</v>
      </c>
      <c r="C75" s="62" t="s">
        <v>91</v>
      </c>
      <c r="D75" s="63" t="s">
        <v>92</v>
      </c>
      <c r="E75" s="64">
        <v>30</v>
      </c>
      <c r="F75" s="59"/>
      <c r="G75" s="60"/>
      <c r="H75" s="60"/>
      <c r="I75" s="60"/>
      <c r="J75" s="103"/>
      <c r="L75" s="104">
        <f t="shared" si="15"/>
        <v>0</v>
      </c>
      <c r="M75" s="105">
        <f t="shared" si="12"/>
        <v>0</v>
      </c>
      <c r="O75" s="104">
        <f t="shared" si="16"/>
        <v>0</v>
      </c>
      <c r="P75" s="106">
        <f t="shared" si="13"/>
        <v>0</v>
      </c>
      <c r="R75" s="104">
        <f t="shared" si="17"/>
        <v>0</v>
      </c>
      <c r="S75" s="106">
        <f t="shared" si="14"/>
        <v>0</v>
      </c>
    </row>
    <row r="76" spans="1:19" outlineLevel="1">
      <c r="B76" s="61">
        <v>19</v>
      </c>
      <c r="C76" s="62" t="s">
        <v>87</v>
      </c>
      <c r="D76" s="63" t="s">
        <v>67</v>
      </c>
      <c r="E76" s="64">
        <v>5</v>
      </c>
      <c r="F76" s="59"/>
      <c r="G76" s="60"/>
      <c r="H76" s="60"/>
      <c r="I76" s="60"/>
      <c r="J76" s="103"/>
      <c r="L76" s="104">
        <f t="shared" si="15"/>
        <v>0</v>
      </c>
      <c r="M76" s="105">
        <f t="shared" si="12"/>
        <v>0</v>
      </c>
      <c r="O76" s="104">
        <f t="shared" si="16"/>
        <v>0</v>
      </c>
      <c r="P76" s="106">
        <f t="shared" si="13"/>
        <v>0</v>
      </c>
      <c r="R76" s="104">
        <f t="shared" si="17"/>
        <v>0</v>
      </c>
      <c r="S76" s="106">
        <f t="shared" si="14"/>
        <v>0</v>
      </c>
    </row>
    <row r="77" spans="1:19" ht="24" customHeight="1" outlineLevel="1">
      <c r="B77" s="66">
        <v>20</v>
      </c>
      <c r="C77" s="67" t="s">
        <v>93</v>
      </c>
      <c r="D77" s="68" t="s">
        <v>94</v>
      </c>
      <c r="E77" s="69">
        <v>25</v>
      </c>
      <c r="F77" s="70"/>
      <c r="G77" s="71"/>
      <c r="H77" s="71"/>
      <c r="I77" s="71"/>
      <c r="J77" s="108"/>
      <c r="L77" s="110">
        <f t="shared" si="15"/>
        <v>0</v>
      </c>
      <c r="M77" s="111">
        <f t="shared" si="12"/>
        <v>0</v>
      </c>
      <c r="N77" s="112"/>
      <c r="O77" s="110">
        <f t="shared" si="16"/>
        <v>0</v>
      </c>
      <c r="P77" s="113">
        <f t="shared" si="13"/>
        <v>0</v>
      </c>
      <c r="Q77" s="112"/>
      <c r="R77" s="110">
        <f t="shared" si="17"/>
        <v>0</v>
      </c>
      <c r="S77" s="113">
        <f t="shared" si="14"/>
        <v>0</v>
      </c>
    </row>
    <row r="78" spans="1:19" ht="30" outlineLevel="1">
      <c r="A78" s="65"/>
      <c r="B78" s="61">
        <v>21</v>
      </c>
      <c r="C78" s="62" t="s">
        <v>95</v>
      </c>
      <c r="D78" s="63" t="s">
        <v>96</v>
      </c>
      <c r="E78" s="64">
        <v>40</v>
      </c>
      <c r="F78" s="72"/>
      <c r="G78" s="60"/>
      <c r="H78" s="60"/>
      <c r="I78" s="60"/>
      <c r="J78" s="103"/>
      <c r="L78" s="104">
        <f t="shared" si="15"/>
        <v>0</v>
      </c>
      <c r="M78" s="105">
        <f t="shared" si="12"/>
        <v>0</v>
      </c>
      <c r="O78" s="104">
        <f t="shared" si="16"/>
        <v>0</v>
      </c>
      <c r="P78" s="106">
        <f t="shared" si="13"/>
        <v>0</v>
      </c>
      <c r="R78" s="104">
        <f t="shared" si="17"/>
        <v>0</v>
      </c>
      <c r="S78" s="106">
        <f t="shared" si="14"/>
        <v>0</v>
      </c>
    </row>
    <row r="79" spans="1:19" ht="60" outlineLevel="1">
      <c r="B79" s="61">
        <v>22</v>
      </c>
      <c r="C79" s="62" t="s">
        <v>97</v>
      </c>
      <c r="D79" s="63" t="s">
        <v>98</v>
      </c>
      <c r="E79" s="64">
        <v>15</v>
      </c>
      <c r="F79" s="59"/>
      <c r="G79" s="75"/>
      <c r="H79" s="60"/>
      <c r="I79" s="60"/>
      <c r="J79" s="103"/>
      <c r="L79" s="104">
        <f t="shared" si="15"/>
        <v>0</v>
      </c>
      <c r="M79" s="105">
        <f t="shared" si="12"/>
        <v>0</v>
      </c>
      <c r="O79" s="104">
        <f t="shared" si="16"/>
        <v>0</v>
      </c>
      <c r="P79" s="106">
        <f t="shared" si="13"/>
        <v>0</v>
      </c>
      <c r="R79" s="104">
        <f t="shared" si="17"/>
        <v>0</v>
      </c>
      <c r="S79" s="106">
        <f t="shared" si="14"/>
        <v>0</v>
      </c>
    </row>
    <row r="80" spans="1:19" ht="30" outlineLevel="1">
      <c r="B80" s="66">
        <v>23</v>
      </c>
      <c r="C80" s="67" t="s">
        <v>99</v>
      </c>
      <c r="D80" s="68" t="s">
        <v>100</v>
      </c>
      <c r="E80" s="69">
        <v>789</v>
      </c>
      <c r="F80" s="70"/>
      <c r="G80" s="71"/>
      <c r="H80" s="71"/>
      <c r="I80" s="71"/>
      <c r="J80" s="108"/>
      <c r="L80" s="110">
        <f t="shared" si="15"/>
        <v>0</v>
      </c>
      <c r="M80" s="111">
        <f t="shared" si="12"/>
        <v>0</v>
      </c>
      <c r="N80" s="112"/>
      <c r="O80" s="110">
        <f t="shared" si="16"/>
        <v>0</v>
      </c>
      <c r="P80" s="113">
        <f t="shared" si="13"/>
        <v>0</v>
      </c>
      <c r="Q80" s="112"/>
      <c r="R80" s="110">
        <f t="shared" si="17"/>
        <v>0</v>
      </c>
      <c r="S80" s="113">
        <f t="shared" si="14"/>
        <v>0</v>
      </c>
    </row>
    <row r="81" spans="1:19" s="38" customFormat="1" ht="25.9" customHeight="1">
      <c r="B81" s="119" t="s">
        <v>104</v>
      </c>
      <c r="C81" s="120"/>
      <c r="D81" s="120"/>
      <c r="E81" s="120"/>
      <c r="F81" s="121"/>
      <c r="G81" s="120"/>
      <c r="H81" s="120"/>
      <c r="I81" s="120"/>
      <c r="J81" s="125"/>
      <c r="L81" s="114"/>
      <c r="M81" s="115"/>
      <c r="N81" s="116"/>
      <c r="O81" s="114"/>
      <c r="P81" s="117"/>
      <c r="Q81" s="116"/>
      <c r="R81" s="114"/>
      <c r="S81" s="117"/>
    </row>
    <row r="82" spans="1:19" ht="22.15" customHeight="1" outlineLevel="1">
      <c r="A82" s="54"/>
      <c r="B82" s="122">
        <v>1</v>
      </c>
      <c r="C82" s="62" t="s">
        <v>59</v>
      </c>
      <c r="D82" s="123" t="s">
        <v>60</v>
      </c>
      <c r="E82" s="124">
        <v>1</v>
      </c>
      <c r="F82" s="59"/>
      <c r="G82" s="60"/>
      <c r="H82" s="60"/>
      <c r="I82" s="60"/>
      <c r="J82" s="103"/>
      <c r="L82" s="104">
        <f>G80-G82</f>
        <v>0</v>
      </c>
      <c r="M82" s="105">
        <f t="shared" ref="M82:M104" si="18">$G$5*L82*60/E82</f>
        <v>0</v>
      </c>
      <c r="O82" s="104">
        <f>H80-H82</f>
        <v>0</v>
      </c>
      <c r="P82" s="106">
        <f t="shared" ref="P82:P104" si="19">$H$5*O82*60/E82</f>
        <v>0</v>
      </c>
      <c r="R82" s="104">
        <f>I80-I82</f>
        <v>0</v>
      </c>
      <c r="S82" s="106">
        <f t="shared" ref="S82:S104" si="20">$I$5*R82*60/E82</f>
        <v>0</v>
      </c>
    </row>
    <row r="83" spans="1:19" ht="45" outlineLevel="1">
      <c r="A83" s="54"/>
      <c r="B83" s="61">
        <v>2</v>
      </c>
      <c r="C83" s="62" t="s">
        <v>61</v>
      </c>
      <c r="D83" s="63" t="s">
        <v>62</v>
      </c>
      <c r="E83" s="64">
        <v>20</v>
      </c>
      <c r="F83" s="59"/>
      <c r="G83" s="60"/>
      <c r="H83" s="60"/>
      <c r="I83" s="118"/>
      <c r="J83" s="103"/>
      <c r="L83" s="104">
        <f t="shared" ref="L83:L104" si="21">G82-G83</f>
        <v>0</v>
      </c>
      <c r="M83" s="105">
        <f t="shared" si="18"/>
        <v>0</v>
      </c>
      <c r="O83" s="104">
        <f t="shared" ref="O83:O104" si="22">H82-H83</f>
        <v>0</v>
      </c>
      <c r="P83" s="106">
        <f t="shared" si="19"/>
        <v>0</v>
      </c>
      <c r="R83" s="104">
        <f t="shared" ref="R83:R104" si="23">I82-I83</f>
        <v>0</v>
      </c>
      <c r="S83" s="106">
        <f t="shared" si="20"/>
        <v>0</v>
      </c>
    </row>
    <row r="84" spans="1:19" ht="45" outlineLevel="1">
      <c r="A84" s="54"/>
      <c r="B84" s="61">
        <v>3</v>
      </c>
      <c r="C84" s="62" t="s">
        <v>102</v>
      </c>
      <c r="D84" s="63" t="s">
        <v>60</v>
      </c>
      <c r="E84" s="64">
        <v>5</v>
      </c>
      <c r="F84" s="59"/>
      <c r="G84" s="60"/>
      <c r="H84" s="60"/>
      <c r="I84" s="60"/>
      <c r="J84" s="103"/>
      <c r="L84" s="104">
        <f t="shared" si="21"/>
        <v>0</v>
      </c>
      <c r="M84" s="105">
        <f t="shared" si="18"/>
        <v>0</v>
      </c>
      <c r="O84" s="104">
        <f t="shared" si="22"/>
        <v>0</v>
      </c>
      <c r="P84" s="106">
        <f t="shared" si="19"/>
        <v>0</v>
      </c>
      <c r="R84" s="104">
        <f t="shared" si="23"/>
        <v>0</v>
      </c>
      <c r="S84" s="106">
        <f t="shared" si="20"/>
        <v>0</v>
      </c>
    </row>
    <row r="85" spans="1:19" ht="30" outlineLevel="1">
      <c r="A85" s="65"/>
      <c r="B85" s="61">
        <v>4</v>
      </c>
      <c r="C85" s="62" t="s">
        <v>64</v>
      </c>
      <c r="D85" s="63" t="s">
        <v>65</v>
      </c>
      <c r="E85" s="64">
        <v>40</v>
      </c>
      <c r="F85" s="59"/>
      <c r="G85" s="60"/>
      <c r="H85" s="60"/>
      <c r="I85" s="60"/>
      <c r="J85" s="103"/>
      <c r="L85" s="104">
        <f t="shared" si="21"/>
        <v>0</v>
      </c>
      <c r="M85" s="105">
        <f t="shared" si="18"/>
        <v>0</v>
      </c>
      <c r="O85" s="104">
        <f t="shared" si="22"/>
        <v>0</v>
      </c>
      <c r="P85" s="106">
        <f t="shared" si="19"/>
        <v>0</v>
      </c>
      <c r="R85" s="104">
        <f t="shared" si="23"/>
        <v>0</v>
      </c>
      <c r="S85" s="106">
        <f t="shared" si="20"/>
        <v>0</v>
      </c>
    </row>
    <row r="86" spans="1:19" outlineLevel="1">
      <c r="A86" s="65"/>
      <c r="B86" s="61">
        <v>5</v>
      </c>
      <c r="C86" s="62" t="s">
        <v>66</v>
      </c>
      <c r="D86" s="63" t="s">
        <v>67</v>
      </c>
      <c r="E86" s="64">
        <v>2</v>
      </c>
      <c r="F86" s="59"/>
      <c r="G86" s="60"/>
      <c r="H86" s="60"/>
      <c r="I86" s="60"/>
      <c r="J86" s="103"/>
      <c r="L86" s="104">
        <f t="shared" si="21"/>
        <v>0</v>
      </c>
      <c r="M86" s="105">
        <f t="shared" si="18"/>
        <v>0</v>
      </c>
      <c r="O86" s="104">
        <f t="shared" si="22"/>
        <v>0</v>
      </c>
      <c r="P86" s="106">
        <f t="shared" si="19"/>
        <v>0</v>
      </c>
      <c r="R86" s="104">
        <f t="shared" si="23"/>
        <v>0</v>
      </c>
      <c r="S86" s="106">
        <f t="shared" si="20"/>
        <v>0</v>
      </c>
    </row>
    <row r="87" spans="1:19" ht="22.15" customHeight="1" outlineLevel="1">
      <c r="B87" s="66">
        <v>6</v>
      </c>
      <c r="C87" s="67" t="s">
        <v>68</v>
      </c>
      <c r="D87" s="68" t="s">
        <v>69</v>
      </c>
      <c r="E87" s="69">
        <v>83</v>
      </c>
      <c r="F87" s="70"/>
      <c r="G87" s="71"/>
      <c r="H87" s="71"/>
      <c r="I87" s="71"/>
      <c r="J87" s="108"/>
      <c r="L87" s="110">
        <f t="shared" si="21"/>
        <v>0</v>
      </c>
      <c r="M87" s="111">
        <f t="shared" si="18"/>
        <v>0</v>
      </c>
      <c r="N87" s="112"/>
      <c r="O87" s="110">
        <f t="shared" si="22"/>
        <v>0</v>
      </c>
      <c r="P87" s="113">
        <f t="shared" si="19"/>
        <v>0</v>
      </c>
      <c r="Q87" s="112"/>
      <c r="R87" s="110">
        <f t="shared" si="23"/>
        <v>0</v>
      </c>
      <c r="S87" s="113">
        <f t="shared" si="20"/>
        <v>0</v>
      </c>
    </row>
    <row r="88" spans="1:19" ht="25.5" customHeight="1" outlineLevel="1">
      <c r="A88" s="65"/>
      <c r="B88" s="61">
        <v>7</v>
      </c>
      <c r="C88" s="62" t="s">
        <v>71</v>
      </c>
      <c r="D88" s="63" t="s">
        <v>72</v>
      </c>
      <c r="E88" s="64">
        <v>30</v>
      </c>
      <c r="F88" s="72"/>
      <c r="G88" s="60"/>
      <c r="H88" s="60"/>
      <c r="I88" s="60"/>
      <c r="J88" s="103"/>
      <c r="L88" s="104">
        <f t="shared" si="21"/>
        <v>0</v>
      </c>
      <c r="M88" s="105">
        <f t="shared" si="18"/>
        <v>0</v>
      </c>
      <c r="O88" s="104">
        <f t="shared" si="22"/>
        <v>0</v>
      </c>
      <c r="P88" s="106">
        <f t="shared" si="19"/>
        <v>0</v>
      </c>
      <c r="R88" s="104">
        <f t="shared" si="23"/>
        <v>0</v>
      </c>
      <c r="S88" s="106">
        <f t="shared" si="20"/>
        <v>0</v>
      </c>
    </row>
    <row r="89" spans="1:19" ht="31.5" customHeight="1" outlineLevel="1">
      <c r="B89" s="61">
        <v>8</v>
      </c>
      <c r="C89" s="62" t="s">
        <v>73</v>
      </c>
      <c r="D89" s="63" t="s">
        <v>74</v>
      </c>
      <c r="E89" s="64">
        <v>5</v>
      </c>
      <c r="F89" s="59"/>
      <c r="G89" s="60"/>
      <c r="H89" s="60"/>
      <c r="I89" s="60"/>
      <c r="J89" s="103"/>
      <c r="L89" s="104">
        <f t="shared" si="21"/>
        <v>0</v>
      </c>
      <c r="M89" s="105">
        <f t="shared" si="18"/>
        <v>0</v>
      </c>
      <c r="O89" s="104">
        <f t="shared" si="22"/>
        <v>0</v>
      </c>
      <c r="P89" s="106">
        <f t="shared" si="19"/>
        <v>0</v>
      </c>
      <c r="R89" s="104">
        <f t="shared" si="23"/>
        <v>0</v>
      </c>
      <c r="S89" s="106">
        <f t="shared" si="20"/>
        <v>0</v>
      </c>
    </row>
    <row r="90" spans="1:19" ht="22.9" customHeight="1" outlineLevel="1">
      <c r="B90" s="66">
        <v>9</v>
      </c>
      <c r="C90" s="67" t="s">
        <v>75</v>
      </c>
      <c r="D90" s="68" t="s">
        <v>76</v>
      </c>
      <c r="E90" s="69">
        <v>105</v>
      </c>
      <c r="F90" s="70"/>
      <c r="G90" s="71"/>
      <c r="H90" s="71"/>
      <c r="I90" s="71"/>
      <c r="J90" s="108"/>
      <c r="L90" s="110">
        <f t="shared" si="21"/>
        <v>0</v>
      </c>
      <c r="M90" s="111">
        <f t="shared" si="18"/>
        <v>0</v>
      </c>
      <c r="N90" s="112"/>
      <c r="O90" s="110">
        <f t="shared" si="22"/>
        <v>0</v>
      </c>
      <c r="P90" s="113">
        <f t="shared" si="19"/>
        <v>0</v>
      </c>
      <c r="Q90" s="112"/>
      <c r="R90" s="110">
        <f t="shared" si="23"/>
        <v>0</v>
      </c>
      <c r="S90" s="113">
        <f t="shared" si="20"/>
        <v>0</v>
      </c>
    </row>
    <row r="91" spans="1:19" ht="60" outlineLevel="1">
      <c r="A91" s="65"/>
      <c r="B91" s="61">
        <v>10</v>
      </c>
      <c r="C91" s="62" t="s">
        <v>77</v>
      </c>
      <c r="D91" s="63" t="s">
        <v>78</v>
      </c>
      <c r="E91" s="64">
        <v>30</v>
      </c>
      <c r="F91" s="72"/>
      <c r="G91" s="60"/>
      <c r="H91" s="60"/>
      <c r="I91" s="60"/>
      <c r="J91" s="103"/>
      <c r="L91" s="104">
        <f t="shared" si="21"/>
        <v>0</v>
      </c>
      <c r="M91" s="105">
        <f t="shared" si="18"/>
        <v>0</v>
      </c>
      <c r="O91" s="104">
        <f t="shared" si="22"/>
        <v>0</v>
      </c>
      <c r="P91" s="106">
        <f t="shared" si="19"/>
        <v>0</v>
      </c>
      <c r="R91" s="104">
        <f t="shared" si="23"/>
        <v>0</v>
      </c>
      <c r="S91" s="106">
        <f t="shared" si="20"/>
        <v>0</v>
      </c>
    </row>
    <row r="92" spans="1:19" ht="30" outlineLevel="1">
      <c r="A92" s="65"/>
      <c r="B92" s="61">
        <v>11</v>
      </c>
      <c r="C92" s="62" t="s">
        <v>79</v>
      </c>
      <c r="D92" s="63" t="s">
        <v>80</v>
      </c>
      <c r="E92" s="64">
        <v>10</v>
      </c>
      <c r="F92" s="59"/>
      <c r="G92" s="60"/>
      <c r="H92" s="60"/>
      <c r="I92" s="60"/>
      <c r="J92" s="103"/>
      <c r="L92" s="104">
        <f t="shared" si="21"/>
        <v>0</v>
      </c>
      <c r="M92" s="105">
        <f t="shared" si="18"/>
        <v>0</v>
      </c>
      <c r="O92" s="104">
        <f t="shared" si="22"/>
        <v>0</v>
      </c>
      <c r="P92" s="106">
        <f t="shared" si="19"/>
        <v>0</v>
      </c>
      <c r="R92" s="104">
        <f t="shared" si="23"/>
        <v>0</v>
      </c>
      <c r="S92" s="106">
        <f t="shared" si="20"/>
        <v>0</v>
      </c>
    </row>
    <row r="93" spans="1:19" ht="28.15" customHeight="1" outlineLevel="1">
      <c r="B93" s="66">
        <v>12</v>
      </c>
      <c r="C93" s="67" t="s">
        <v>81</v>
      </c>
      <c r="D93" s="68" t="s">
        <v>82</v>
      </c>
      <c r="E93" s="69">
        <v>5</v>
      </c>
      <c r="F93" s="70"/>
      <c r="G93" s="71"/>
      <c r="H93" s="71"/>
      <c r="I93" s="71"/>
      <c r="J93" s="108"/>
      <c r="L93" s="110">
        <f t="shared" si="21"/>
        <v>0</v>
      </c>
      <c r="M93" s="111">
        <f t="shared" si="18"/>
        <v>0</v>
      </c>
      <c r="N93" s="112"/>
      <c r="O93" s="110">
        <f t="shared" si="22"/>
        <v>0</v>
      </c>
      <c r="P93" s="113">
        <f t="shared" si="19"/>
        <v>0</v>
      </c>
      <c r="Q93" s="112"/>
      <c r="R93" s="110">
        <f t="shared" si="23"/>
        <v>0</v>
      </c>
      <c r="S93" s="113">
        <f t="shared" si="20"/>
        <v>0</v>
      </c>
    </row>
    <row r="94" spans="1:19" ht="30" outlineLevel="1">
      <c r="B94" s="61">
        <v>13</v>
      </c>
      <c r="C94" s="62" t="s">
        <v>83</v>
      </c>
      <c r="D94" s="63" t="s">
        <v>84</v>
      </c>
      <c r="E94" s="64">
        <v>20</v>
      </c>
      <c r="F94" s="72"/>
      <c r="G94" s="60"/>
      <c r="H94" s="60"/>
      <c r="I94" s="60"/>
      <c r="J94" s="103"/>
      <c r="L94" s="104">
        <f t="shared" si="21"/>
        <v>0</v>
      </c>
      <c r="M94" s="105">
        <f t="shared" si="18"/>
        <v>0</v>
      </c>
      <c r="O94" s="104">
        <f t="shared" si="22"/>
        <v>0</v>
      </c>
      <c r="P94" s="106">
        <f t="shared" si="19"/>
        <v>0</v>
      </c>
      <c r="R94" s="104">
        <f t="shared" si="23"/>
        <v>0</v>
      </c>
      <c r="S94" s="106">
        <f t="shared" si="20"/>
        <v>0</v>
      </c>
    </row>
    <row r="95" spans="1:19" ht="37.5" outlineLevel="1">
      <c r="A95" s="65"/>
      <c r="B95" s="61">
        <v>14</v>
      </c>
      <c r="C95" s="62" t="s">
        <v>85</v>
      </c>
      <c r="D95" s="63" t="s">
        <v>86</v>
      </c>
      <c r="E95" s="64">
        <v>20</v>
      </c>
      <c r="F95" s="59"/>
      <c r="G95" s="60"/>
      <c r="H95" s="60"/>
      <c r="I95" s="60"/>
      <c r="J95" s="103"/>
      <c r="L95" s="104">
        <f t="shared" si="21"/>
        <v>0</v>
      </c>
      <c r="M95" s="105">
        <f t="shared" si="18"/>
        <v>0</v>
      </c>
      <c r="O95" s="104">
        <f t="shared" si="22"/>
        <v>0</v>
      </c>
      <c r="P95" s="106">
        <f t="shared" si="19"/>
        <v>0</v>
      </c>
      <c r="R95" s="104">
        <f t="shared" si="23"/>
        <v>0</v>
      </c>
      <c r="S95" s="106">
        <f t="shared" si="20"/>
        <v>0</v>
      </c>
    </row>
    <row r="96" spans="1:19" outlineLevel="1">
      <c r="B96" s="61">
        <v>15</v>
      </c>
      <c r="C96" s="62" t="s">
        <v>87</v>
      </c>
      <c r="D96" s="63" t="s">
        <v>67</v>
      </c>
      <c r="E96" s="64">
        <v>5</v>
      </c>
      <c r="F96" s="59"/>
      <c r="G96" s="60"/>
      <c r="H96" s="60"/>
      <c r="I96" s="60"/>
      <c r="J96" s="103"/>
      <c r="L96" s="104">
        <f t="shared" si="21"/>
        <v>0</v>
      </c>
      <c r="M96" s="105">
        <f t="shared" si="18"/>
        <v>0</v>
      </c>
      <c r="O96" s="104">
        <f t="shared" si="22"/>
        <v>0</v>
      </c>
      <c r="P96" s="106">
        <f t="shared" si="19"/>
        <v>0</v>
      </c>
      <c r="R96" s="104">
        <f t="shared" si="23"/>
        <v>0</v>
      </c>
      <c r="S96" s="106">
        <f t="shared" si="20"/>
        <v>0</v>
      </c>
    </row>
    <row r="97" spans="1:19" ht="28.15" customHeight="1" outlineLevel="1">
      <c r="B97" s="66">
        <v>16</v>
      </c>
      <c r="C97" s="67" t="s">
        <v>88</v>
      </c>
      <c r="D97" s="68" t="s">
        <v>76</v>
      </c>
      <c r="E97" s="69">
        <v>125</v>
      </c>
      <c r="F97" s="70"/>
      <c r="G97" s="71"/>
      <c r="H97" s="71"/>
      <c r="I97" s="71"/>
      <c r="J97" s="108"/>
      <c r="L97" s="110">
        <f t="shared" si="21"/>
        <v>0</v>
      </c>
      <c r="M97" s="111">
        <f t="shared" si="18"/>
        <v>0</v>
      </c>
      <c r="N97" s="112"/>
      <c r="O97" s="110">
        <f t="shared" si="22"/>
        <v>0</v>
      </c>
      <c r="P97" s="113">
        <f t="shared" si="19"/>
        <v>0</v>
      </c>
      <c r="Q97" s="112"/>
      <c r="R97" s="110">
        <f t="shared" si="23"/>
        <v>0</v>
      </c>
      <c r="S97" s="113">
        <f t="shared" si="20"/>
        <v>0</v>
      </c>
    </row>
    <row r="98" spans="1:19" outlineLevel="1">
      <c r="A98" s="65"/>
      <c r="B98" s="61">
        <v>17</v>
      </c>
      <c r="C98" s="62" t="s">
        <v>89</v>
      </c>
      <c r="D98" s="63" t="s">
        <v>90</v>
      </c>
      <c r="E98" s="64">
        <v>30</v>
      </c>
      <c r="F98" s="72"/>
      <c r="G98" s="60"/>
      <c r="H98" s="60"/>
      <c r="I98" s="60"/>
      <c r="J98" s="103"/>
      <c r="L98" s="104">
        <f t="shared" si="21"/>
        <v>0</v>
      </c>
      <c r="M98" s="105">
        <f t="shared" si="18"/>
        <v>0</v>
      </c>
      <c r="O98" s="104">
        <f t="shared" si="22"/>
        <v>0</v>
      </c>
      <c r="P98" s="106">
        <f t="shared" si="19"/>
        <v>0</v>
      </c>
      <c r="R98" s="104">
        <f t="shared" si="23"/>
        <v>0</v>
      </c>
      <c r="S98" s="106">
        <f t="shared" si="20"/>
        <v>0</v>
      </c>
    </row>
    <row r="99" spans="1:19" ht="33" customHeight="1" outlineLevel="1">
      <c r="B99" s="61">
        <v>18</v>
      </c>
      <c r="C99" s="62" t="s">
        <v>91</v>
      </c>
      <c r="D99" s="63" t="s">
        <v>92</v>
      </c>
      <c r="E99" s="64">
        <v>30</v>
      </c>
      <c r="F99" s="59"/>
      <c r="G99" s="60"/>
      <c r="H99" s="60"/>
      <c r="I99" s="60"/>
      <c r="J99" s="103"/>
      <c r="L99" s="104">
        <f t="shared" si="21"/>
        <v>0</v>
      </c>
      <c r="M99" s="105">
        <f t="shared" si="18"/>
        <v>0</v>
      </c>
      <c r="O99" s="104">
        <f t="shared" si="22"/>
        <v>0</v>
      </c>
      <c r="P99" s="106">
        <f t="shared" si="19"/>
        <v>0</v>
      </c>
      <c r="R99" s="104">
        <f t="shared" si="23"/>
        <v>0</v>
      </c>
      <c r="S99" s="106">
        <f t="shared" si="20"/>
        <v>0</v>
      </c>
    </row>
    <row r="100" spans="1:19" outlineLevel="1">
      <c r="B100" s="61">
        <v>19</v>
      </c>
      <c r="C100" s="62" t="s">
        <v>87</v>
      </c>
      <c r="D100" s="63" t="s">
        <v>67</v>
      </c>
      <c r="E100" s="64">
        <v>5</v>
      </c>
      <c r="F100" s="59"/>
      <c r="G100" s="60"/>
      <c r="H100" s="60"/>
      <c r="I100" s="60"/>
      <c r="J100" s="103"/>
      <c r="L100" s="104">
        <f t="shared" si="21"/>
        <v>0</v>
      </c>
      <c r="M100" s="105">
        <f t="shared" si="18"/>
        <v>0</v>
      </c>
      <c r="O100" s="104">
        <f t="shared" si="22"/>
        <v>0</v>
      </c>
      <c r="P100" s="106">
        <f t="shared" si="19"/>
        <v>0</v>
      </c>
      <c r="R100" s="104">
        <f t="shared" si="23"/>
        <v>0</v>
      </c>
      <c r="S100" s="106">
        <f t="shared" si="20"/>
        <v>0</v>
      </c>
    </row>
    <row r="101" spans="1:19" ht="24" customHeight="1" outlineLevel="1">
      <c r="B101" s="66">
        <v>20</v>
      </c>
      <c r="C101" s="67" t="s">
        <v>93</v>
      </c>
      <c r="D101" s="68" t="s">
        <v>94</v>
      </c>
      <c r="E101" s="69">
        <v>25</v>
      </c>
      <c r="F101" s="70"/>
      <c r="G101" s="71"/>
      <c r="H101" s="71"/>
      <c r="I101" s="71"/>
      <c r="J101" s="108"/>
      <c r="L101" s="110">
        <f t="shared" si="21"/>
        <v>0</v>
      </c>
      <c r="M101" s="111">
        <f t="shared" si="18"/>
        <v>0</v>
      </c>
      <c r="N101" s="112"/>
      <c r="O101" s="110">
        <f t="shared" si="22"/>
        <v>0</v>
      </c>
      <c r="P101" s="113">
        <f t="shared" si="19"/>
        <v>0</v>
      </c>
      <c r="Q101" s="112"/>
      <c r="R101" s="110">
        <f t="shared" si="23"/>
        <v>0</v>
      </c>
      <c r="S101" s="113">
        <f t="shared" si="20"/>
        <v>0</v>
      </c>
    </row>
    <row r="102" spans="1:19" ht="30" outlineLevel="1">
      <c r="A102" s="65"/>
      <c r="B102" s="61">
        <v>21</v>
      </c>
      <c r="C102" s="62" t="s">
        <v>95</v>
      </c>
      <c r="D102" s="63" t="s">
        <v>96</v>
      </c>
      <c r="E102" s="64">
        <v>40</v>
      </c>
      <c r="F102" s="72"/>
      <c r="G102" s="60"/>
      <c r="H102" s="60"/>
      <c r="I102" s="60"/>
      <c r="J102" s="103"/>
      <c r="L102" s="104">
        <f t="shared" si="21"/>
        <v>0</v>
      </c>
      <c r="M102" s="105">
        <f t="shared" si="18"/>
        <v>0</v>
      </c>
      <c r="O102" s="104">
        <f t="shared" si="22"/>
        <v>0</v>
      </c>
      <c r="P102" s="106">
        <f t="shared" si="19"/>
        <v>0</v>
      </c>
      <c r="R102" s="104">
        <f t="shared" si="23"/>
        <v>0</v>
      </c>
      <c r="S102" s="106">
        <f t="shared" si="20"/>
        <v>0</v>
      </c>
    </row>
    <row r="103" spans="1:19" ht="60" outlineLevel="1">
      <c r="B103" s="61">
        <v>22</v>
      </c>
      <c r="C103" s="62" t="s">
        <v>97</v>
      </c>
      <c r="D103" s="63" t="s">
        <v>98</v>
      </c>
      <c r="E103" s="64">
        <v>15</v>
      </c>
      <c r="F103" s="59"/>
      <c r="G103" s="60"/>
      <c r="H103" s="60"/>
      <c r="I103" s="60"/>
      <c r="J103" s="103"/>
      <c r="L103" s="104">
        <f t="shared" si="21"/>
        <v>0</v>
      </c>
      <c r="M103" s="105">
        <f t="shared" si="18"/>
        <v>0</v>
      </c>
      <c r="O103" s="104">
        <f t="shared" si="22"/>
        <v>0</v>
      </c>
      <c r="P103" s="106">
        <f t="shared" si="19"/>
        <v>0</v>
      </c>
      <c r="R103" s="104">
        <f t="shared" si="23"/>
        <v>0</v>
      </c>
      <c r="S103" s="106">
        <f t="shared" si="20"/>
        <v>0</v>
      </c>
    </row>
    <row r="104" spans="1:19" ht="30" outlineLevel="1">
      <c r="B104" s="66">
        <v>23</v>
      </c>
      <c r="C104" s="67" t="s">
        <v>99</v>
      </c>
      <c r="D104" s="68" t="s">
        <v>100</v>
      </c>
      <c r="E104" s="69">
        <v>789</v>
      </c>
      <c r="F104" s="70"/>
      <c r="G104" s="71"/>
      <c r="H104" s="71"/>
      <c r="I104" s="71"/>
      <c r="J104" s="108"/>
      <c r="L104" s="110">
        <f t="shared" si="21"/>
        <v>0</v>
      </c>
      <c r="M104" s="111">
        <f t="shared" si="18"/>
        <v>0</v>
      </c>
      <c r="N104" s="112"/>
      <c r="O104" s="110">
        <f t="shared" si="22"/>
        <v>0</v>
      </c>
      <c r="P104" s="113">
        <f t="shared" si="19"/>
        <v>0</v>
      </c>
      <c r="Q104" s="112"/>
      <c r="R104" s="110">
        <f t="shared" si="23"/>
        <v>0</v>
      </c>
      <c r="S104" s="113">
        <f t="shared" si="20"/>
        <v>0</v>
      </c>
    </row>
    <row r="105" spans="1:19" s="38" customFormat="1" ht="25.9" customHeight="1">
      <c r="B105" s="119" t="s">
        <v>105</v>
      </c>
      <c r="C105" s="120"/>
      <c r="D105" s="120"/>
      <c r="E105" s="120"/>
      <c r="F105" s="121"/>
      <c r="G105" s="120"/>
      <c r="H105" s="120"/>
      <c r="I105" s="120"/>
      <c r="J105" s="125"/>
      <c r="L105" s="114"/>
      <c r="M105" s="115"/>
      <c r="N105" s="116"/>
      <c r="O105" s="114"/>
      <c r="P105" s="117"/>
      <c r="Q105" s="116"/>
      <c r="R105" s="114"/>
      <c r="S105" s="117"/>
    </row>
    <row r="106" spans="1:19" ht="22.15" customHeight="1" outlineLevel="1">
      <c r="A106" s="54"/>
      <c r="B106" s="122">
        <v>1</v>
      </c>
      <c r="C106" s="62" t="s">
        <v>59</v>
      </c>
      <c r="D106" s="123" t="s">
        <v>60</v>
      </c>
      <c r="E106" s="124">
        <v>1</v>
      </c>
      <c r="F106" s="59"/>
      <c r="G106" s="60"/>
      <c r="H106" s="60"/>
      <c r="I106" s="60"/>
      <c r="J106" s="103"/>
      <c r="L106" s="104">
        <f>G104-G106</f>
        <v>0</v>
      </c>
      <c r="M106" s="105">
        <f t="shared" ref="M106:M128" si="24">$G$5*L106*60/E106</f>
        <v>0</v>
      </c>
      <c r="O106" s="104">
        <f>H104-H106</f>
        <v>0</v>
      </c>
      <c r="P106" s="106">
        <f t="shared" ref="P106:P128" si="25">$H$5*O106*60/E106</f>
        <v>0</v>
      </c>
      <c r="R106" s="104">
        <f>I104-I106</f>
        <v>0</v>
      </c>
      <c r="S106" s="106">
        <f t="shared" ref="S106:S128" si="26">$I$5*R106*60/E106</f>
        <v>0</v>
      </c>
    </row>
    <row r="107" spans="1:19" ht="45" outlineLevel="1">
      <c r="A107" s="54"/>
      <c r="B107" s="61">
        <v>2</v>
      </c>
      <c r="C107" s="62" t="s">
        <v>61</v>
      </c>
      <c r="D107" s="63" t="s">
        <v>62</v>
      </c>
      <c r="E107" s="64">
        <v>20</v>
      </c>
      <c r="F107" s="59"/>
      <c r="G107" s="60"/>
      <c r="H107" s="60"/>
      <c r="I107" s="60"/>
      <c r="J107" s="103"/>
      <c r="L107" s="104">
        <f t="shared" ref="L107:L128" si="27">G106-G107</f>
        <v>0</v>
      </c>
      <c r="M107" s="105">
        <f t="shared" si="24"/>
        <v>0</v>
      </c>
      <c r="O107" s="104">
        <f t="shared" ref="O107:O128" si="28">H106-H107</f>
        <v>0</v>
      </c>
      <c r="P107" s="106">
        <f t="shared" si="25"/>
        <v>0</v>
      </c>
      <c r="R107" s="104">
        <f t="shared" ref="R107:R128" si="29">I106-I107</f>
        <v>0</v>
      </c>
      <c r="S107" s="106">
        <f t="shared" si="26"/>
        <v>0</v>
      </c>
    </row>
    <row r="108" spans="1:19" ht="45" outlineLevel="1">
      <c r="A108" s="54"/>
      <c r="B108" s="61">
        <v>3</v>
      </c>
      <c r="C108" s="62" t="s">
        <v>102</v>
      </c>
      <c r="D108" s="63" t="s">
        <v>60</v>
      </c>
      <c r="E108" s="64">
        <v>5</v>
      </c>
      <c r="F108" s="59"/>
      <c r="G108" s="60"/>
      <c r="H108" s="60"/>
      <c r="I108" s="60"/>
      <c r="J108" s="103"/>
      <c r="L108" s="104">
        <f t="shared" si="27"/>
        <v>0</v>
      </c>
      <c r="M108" s="105">
        <f t="shared" si="24"/>
        <v>0</v>
      </c>
      <c r="O108" s="104">
        <f t="shared" si="28"/>
        <v>0</v>
      </c>
      <c r="P108" s="106">
        <f t="shared" si="25"/>
        <v>0</v>
      </c>
      <c r="R108" s="104">
        <f t="shared" si="29"/>
        <v>0</v>
      </c>
      <c r="S108" s="106">
        <f t="shared" si="26"/>
        <v>0</v>
      </c>
    </row>
    <row r="109" spans="1:19" ht="30" outlineLevel="1">
      <c r="A109" s="65"/>
      <c r="B109" s="61">
        <v>4</v>
      </c>
      <c r="C109" s="62" t="s">
        <v>64</v>
      </c>
      <c r="D109" s="63" t="s">
        <v>65</v>
      </c>
      <c r="E109" s="64">
        <v>40</v>
      </c>
      <c r="F109" s="59"/>
      <c r="G109" s="60"/>
      <c r="H109" s="60"/>
      <c r="I109" s="60"/>
      <c r="J109" s="103"/>
      <c r="L109" s="104">
        <f t="shared" si="27"/>
        <v>0</v>
      </c>
      <c r="M109" s="105">
        <f t="shared" si="24"/>
        <v>0</v>
      </c>
      <c r="O109" s="104">
        <f t="shared" si="28"/>
        <v>0</v>
      </c>
      <c r="P109" s="106">
        <f t="shared" si="25"/>
        <v>0</v>
      </c>
      <c r="R109" s="104">
        <f t="shared" si="29"/>
        <v>0</v>
      </c>
      <c r="S109" s="106">
        <f t="shared" si="26"/>
        <v>0</v>
      </c>
    </row>
    <row r="110" spans="1:19" outlineLevel="1">
      <c r="A110" s="65"/>
      <c r="B110" s="61">
        <v>5</v>
      </c>
      <c r="C110" s="62" t="s">
        <v>66</v>
      </c>
      <c r="D110" s="63" t="s">
        <v>67</v>
      </c>
      <c r="E110" s="64">
        <v>2</v>
      </c>
      <c r="F110" s="59"/>
      <c r="G110" s="60"/>
      <c r="H110" s="60"/>
      <c r="I110" s="60"/>
      <c r="J110" s="103"/>
      <c r="L110" s="104">
        <f t="shared" si="27"/>
        <v>0</v>
      </c>
      <c r="M110" s="105">
        <f t="shared" si="24"/>
        <v>0</v>
      </c>
      <c r="O110" s="104">
        <f t="shared" si="28"/>
        <v>0</v>
      </c>
      <c r="P110" s="106">
        <f t="shared" si="25"/>
        <v>0</v>
      </c>
      <c r="R110" s="104">
        <f t="shared" si="29"/>
        <v>0</v>
      </c>
      <c r="S110" s="106">
        <f t="shared" si="26"/>
        <v>0</v>
      </c>
    </row>
    <row r="111" spans="1:19" ht="22.15" customHeight="1" outlineLevel="1">
      <c r="B111" s="66">
        <v>6</v>
      </c>
      <c r="C111" s="67" t="s">
        <v>68</v>
      </c>
      <c r="D111" s="68" t="s">
        <v>69</v>
      </c>
      <c r="E111" s="69">
        <v>83</v>
      </c>
      <c r="F111" s="70"/>
      <c r="G111" s="71"/>
      <c r="H111" s="71"/>
      <c r="I111" s="71"/>
      <c r="J111" s="108"/>
      <c r="L111" s="110">
        <f t="shared" si="27"/>
        <v>0</v>
      </c>
      <c r="M111" s="111">
        <f t="shared" si="24"/>
        <v>0</v>
      </c>
      <c r="N111" s="112"/>
      <c r="O111" s="110">
        <f t="shared" si="28"/>
        <v>0</v>
      </c>
      <c r="P111" s="113">
        <f t="shared" si="25"/>
        <v>0</v>
      </c>
      <c r="Q111" s="112"/>
      <c r="R111" s="110">
        <f t="shared" si="29"/>
        <v>0</v>
      </c>
      <c r="S111" s="113">
        <f t="shared" si="26"/>
        <v>0</v>
      </c>
    </row>
    <row r="112" spans="1:19" ht="25.5" customHeight="1" outlineLevel="1">
      <c r="A112" s="65"/>
      <c r="B112" s="61">
        <v>7</v>
      </c>
      <c r="C112" s="62" t="s">
        <v>71</v>
      </c>
      <c r="D112" s="63" t="s">
        <v>72</v>
      </c>
      <c r="E112" s="64">
        <v>30</v>
      </c>
      <c r="F112" s="72"/>
      <c r="G112" s="60"/>
      <c r="H112" s="60"/>
      <c r="I112" s="60"/>
      <c r="J112" s="103"/>
      <c r="L112" s="104">
        <f t="shared" si="27"/>
        <v>0</v>
      </c>
      <c r="M112" s="105">
        <f t="shared" si="24"/>
        <v>0</v>
      </c>
      <c r="O112" s="104">
        <f t="shared" si="28"/>
        <v>0</v>
      </c>
      <c r="P112" s="106">
        <f t="shared" si="25"/>
        <v>0</v>
      </c>
      <c r="R112" s="104">
        <f t="shared" si="29"/>
        <v>0</v>
      </c>
      <c r="S112" s="106">
        <f t="shared" si="26"/>
        <v>0</v>
      </c>
    </row>
    <row r="113" spans="1:19" ht="31.5" customHeight="1" outlineLevel="1">
      <c r="B113" s="61">
        <v>8</v>
      </c>
      <c r="C113" s="62" t="s">
        <v>73</v>
      </c>
      <c r="D113" s="63" t="s">
        <v>74</v>
      </c>
      <c r="E113" s="64">
        <v>5</v>
      </c>
      <c r="F113" s="59"/>
      <c r="G113" s="60"/>
      <c r="H113" s="60"/>
      <c r="I113" s="60"/>
      <c r="J113" s="103"/>
      <c r="L113" s="104">
        <f t="shared" si="27"/>
        <v>0</v>
      </c>
      <c r="M113" s="105">
        <f t="shared" si="24"/>
        <v>0</v>
      </c>
      <c r="O113" s="104">
        <f t="shared" si="28"/>
        <v>0</v>
      </c>
      <c r="P113" s="106">
        <f t="shared" si="25"/>
        <v>0</v>
      </c>
      <c r="R113" s="104">
        <f t="shared" si="29"/>
        <v>0</v>
      </c>
      <c r="S113" s="106">
        <f t="shared" si="26"/>
        <v>0</v>
      </c>
    </row>
    <row r="114" spans="1:19" ht="22.9" customHeight="1" outlineLevel="1">
      <c r="B114" s="66">
        <v>9</v>
      </c>
      <c r="C114" s="67" t="s">
        <v>75</v>
      </c>
      <c r="D114" s="68" t="s">
        <v>76</v>
      </c>
      <c r="E114" s="69">
        <v>105</v>
      </c>
      <c r="F114" s="70"/>
      <c r="G114" s="71"/>
      <c r="H114" s="71"/>
      <c r="I114" s="71"/>
      <c r="J114" s="108"/>
      <c r="L114" s="110">
        <f t="shared" si="27"/>
        <v>0</v>
      </c>
      <c r="M114" s="111">
        <f t="shared" si="24"/>
        <v>0</v>
      </c>
      <c r="N114" s="112"/>
      <c r="O114" s="110">
        <f t="shared" si="28"/>
        <v>0</v>
      </c>
      <c r="P114" s="113">
        <f t="shared" si="25"/>
        <v>0</v>
      </c>
      <c r="Q114" s="112"/>
      <c r="R114" s="110">
        <f t="shared" si="29"/>
        <v>0</v>
      </c>
      <c r="S114" s="113">
        <f t="shared" si="26"/>
        <v>0</v>
      </c>
    </row>
    <row r="115" spans="1:19" ht="60" outlineLevel="1">
      <c r="A115" s="65"/>
      <c r="B115" s="61">
        <v>10</v>
      </c>
      <c r="C115" s="62" t="s">
        <v>77</v>
      </c>
      <c r="D115" s="63" t="s">
        <v>78</v>
      </c>
      <c r="E115" s="64">
        <v>30</v>
      </c>
      <c r="F115" s="72"/>
      <c r="G115" s="60"/>
      <c r="H115" s="60"/>
      <c r="I115" s="60"/>
      <c r="J115" s="103"/>
      <c r="L115" s="104">
        <f t="shared" si="27"/>
        <v>0</v>
      </c>
      <c r="M115" s="105">
        <f t="shared" si="24"/>
        <v>0</v>
      </c>
      <c r="O115" s="104">
        <f t="shared" si="28"/>
        <v>0</v>
      </c>
      <c r="P115" s="106">
        <f t="shared" si="25"/>
        <v>0</v>
      </c>
      <c r="R115" s="104">
        <f t="shared" si="29"/>
        <v>0</v>
      </c>
      <c r="S115" s="106">
        <f t="shared" si="26"/>
        <v>0</v>
      </c>
    </row>
    <row r="116" spans="1:19" ht="30" outlineLevel="1">
      <c r="A116" s="65"/>
      <c r="B116" s="61">
        <v>11</v>
      </c>
      <c r="C116" s="62" t="s">
        <v>79</v>
      </c>
      <c r="D116" s="63" t="s">
        <v>80</v>
      </c>
      <c r="E116" s="64">
        <v>10</v>
      </c>
      <c r="F116" s="59"/>
      <c r="G116" s="60"/>
      <c r="H116" s="60"/>
      <c r="I116" s="60"/>
      <c r="J116" s="103"/>
      <c r="L116" s="104">
        <f t="shared" si="27"/>
        <v>0</v>
      </c>
      <c r="M116" s="105">
        <f t="shared" si="24"/>
        <v>0</v>
      </c>
      <c r="O116" s="104">
        <f t="shared" si="28"/>
        <v>0</v>
      </c>
      <c r="P116" s="106">
        <f t="shared" si="25"/>
        <v>0</v>
      </c>
      <c r="R116" s="104">
        <f t="shared" si="29"/>
        <v>0</v>
      </c>
      <c r="S116" s="106">
        <f t="shared" si="26"/>
        <v>0</v>
      </c>
    </row>
    <row r="117" spans="1:19" ht="28.15" customHeight="1" outlineLevel="1">
      <c r="B117" s="66">
        <v>12</v>
      </c>
      <c r="C117" s="67" t="s">
        <v>81</v>
      </c>
      <c r="D117" s="68" t="s">
        <v>82</v>
      </c>
      <c r="E117" s="69">
        <v>5</v>
      </c>
      <c r="F117" s="70"/>
      <c r="G117" s="71"/>
      <c r="H117" s="71"/>
      <c r="I117" s="71"/>
      <c r="J117" s="108"/>
      <c r="L117" s="110">
        <f t="shared" si="27"/>
        <v>0</v>
      </c>
      <c r="M117" s="111">
        <f t="shared" si="24"/>
        <v>0</v>
      </c>
      <c r="N117" s="112"/>
      <c r="O117" s="110">
        <f t="shared" si="28"/>
        <v>0</v>
      </c>
      <c r="P117" s="113">
        <f t="shared" si="25"/>
        <v>0</v>
      </c>
      <c r="Q117" s="112"/>
      <c r="R117" s="110">
        <f t="shared" si="29"/>
        <v>0</v>
      </c>
      <c r="S117" s="113">
        <f t="shared" si="26"/>
        <v>0</v>
      </c>
    </row>
    <row r="118" spans="1:19" ht="30" outlineLevel="1">
      <c r="B118" s="61">
        <v>13</v>
      </c>
      <c r="C118" s="62" t="s">
        <v>83</v>
      </c>
      <c r="D118" s="63" t="s">
        <v>84</v>
      </c>
      <c r="E118" s="64">
        <v>20</v>
      </c>
      <c r="F118" s="72"/>
      <c r="G118" s="60"/>
      <c r="H118" s="60"/>
      <c r="I118" s="60"/>
      <c r="J118" s="103"/>
      <c r="L118" s="104">
        <f t="shared" si="27"/>
        <v>0</v>
      </c>
      <c r="M118" s="105">
        <f t="shared" si="24"/>
        <v>0</v>
      </c>
      <c r="O118" s="104">
        <f t="shared" si="28"/>
        <v>0</v>
      </c>
      <c r="P118" s="106">
        <f t="shared" si="25"/>
        <v>0</v>
      </c>
      <c r="R118" s="104">
        <f t="shared" si="29"/>
        <v>0</v>
      </c>
      <c r="S118" s="106">
        <f t="shared" si="26"/>
        <v>0</v>
      </c>
    </row>
    <row r="119" spans="1:19" ht="37.5" outlineLevel="1">
      <c r="A119" s="65"/>
      <c r="B119" s="61">
        <v>14</v>
      </c>
      <c r="C119" s="62" t="s">
        <v>85</v>
      </c>
      <c r="D119" s="63" t="s">
        <v>86</v>
      </c>
      <c r="E119" s="64">
        <v>20</v>
      </c>
      <c r="F119" s="59"/>
      <c r="G119" s="60"/>
      <c r="H119" s="60"/>
      <c r="I119" s="60"/>
      <c r="J119" s="103"/>
      <c r="L119" s="104">
        <f t="shared" si="27"/>
        <v>0</v>
      </c>
      <c r="M119" s="105">
        <f t="shared" si="24"/>
        <v>0</v>
      </c>
      <c r="O119" s="104">
        <f t="shared" si="28"/>
        <v>0</v>
      </c>
      <c r="P119" s="106">
        <f t="shared" si="25"/>
        <v>0</v>
      </c>
      <c r="R119" s="104">
        <f t="shared" si="29"/>
        <v>0</v>
      </c>
      <c r="S119" s="106">
        <f t="shared" si="26"/>
        <v>0</v>
      </c>
    </row>
    <row r="120" spans="1:19" outlineLevel="1">
      <c r="B120" s="61">
        <v>15</v>
      </c>
      <c r="C120" s="62" t="s">
        <v>87</v>
      </c>
      <c r="D120" s="63" t="s">
        <v>67</v>
      </c>
      <c r="E120" s="64">
        <v>5</v>
      </c>
      <c r="F120" s="59"/>
      <c r="G120" s="60"/>
      <c r="H120" s="60"/>
      <c r="I120" s="60"/>
      <c r="J120" s="103"/>
      <c r="L120" s="104">
        <f t="shared" si="27"/>
        <v>0</v>
      </c>
      <c r="M120" s="105">
        <f t="shared" si="24"/>
        <v>0</v>
      </c>
      <c r="O120" s="104">
        <f t="shared" si="28"/>
        <v>0</v>
      </c>
      <c r="P120" s="106">
        <f t="shared" si="25"/>
        <v>0</v>
      </c>
      <c r="R120" s="104">
        <f t="shared" si="29"/>
        <v>0</v>
      </c>
      <c r="S120" s="106">
        <f t="shared" si="26"/>
        <v>0</v>
      </c>
    </row>
    <row r="121" spans="1:19" ht="28.15" customHeight="1" outlineLevel="1">
      <c r="B121" s="66">
        <v>16</v>
      </c>
      <c r="C121" s="67" t="s">
        <v>88</v>
      </c>
      <c r="D121" s="68" t="s">
        <v>76</v>
      </c>
      <c r="E121" s="69">
        <v>125</v>
      </c>
      <c r="F121" s="70"/>
      <c r="G121" s="71"/>
      <c r="H121" s="71"/>
      <c r="I121" s="71"/>
      <c r="J121" s="108"/>
      <c r="L121" s="110">
        <f t="shared" si="27"/>
        <v>0</v>
      </c>
      <c r="M121" s="111">
        <f t="shared" si="24"/>
        <v>0</v>
      </c>
      <c r="N121" s="112"/>
      <c r="O121" s="110">
        <f t="shared" si="28"/>
        <v>0</v>
      </c>
      <c r="P121" s="113">
        <f t="shared" si="25"/>
        <v>0</v>
      </c>
      <c r="Q121" s="112"/>
      <c r="R121" s="110">
        <f t="shared" si="29"/>
        <v>0</v>
      </c>
      <c r="S121" s="113">
        <f t="shared" si="26"/>
        <v>0</v>
      </c>
    </row>
    <row r="122" spans="1:19" outlineLevel="1">
      <c r="A122" s="65"/>
      <c r="B122" s="61">
        <v>17</v>
      </c>
      <c r="C122" s="62" t="s">
        <v>89</v>
      </c>
      <c r="D122" s="63" t="s">
        <v>90</v>
      </c>
      <c r="E122" s="64">
        <v>30</v>
      </c>
      <c r="F122" s="72"/>
      <c r="G122" s="60"/>
      <c r="H122" s="60"/>
      <c r="I122" s="60"/>
      <c r="J122" s="103"/>
      <c r="L122" s="104">
        <f t="shared" si="27"/>
        <v>0</v>
      </c>
      <c r="M122" s="105">
        <f t="shared" si="24"/>
        <v>0</v>
      </c>
      <c r="O122" s="104">
        <f t="shared" si="28"/>
        <v>0</v>
      </c>
      <c r="P122" s="106">
        <f t="shared" si="25"/>
        <v>0</v>
      </c>
      <c r="R122" s="104">
        <f t="shared" si="29"/>
        <v>0</v>
      </c>
      <c r="S122" s="106">
        <f t="shared" si="26"/>
        <v>0</v>
      </c>
    </row>
    <row r="123" spans="1:19" ht="33" customHeight="1" outlineLevel="1">
      <c r="B123" s="61">
        <v>18</v>
      </c>
      <c r="C123" s="62" t="s">
        <v>91</v>
      </c>
      <c r="D123" s="63" t="s">
        <v>92</v>
      </c>
      <c r="E123" s="64">
        <v>30</v>
      </c>
      <c r="F123" s="59"/>
      <c r="G123" s="60"/>
      <c r="H123" s="60"/>
      <c r="I123" s="60"/>
      <c r="J123" s="103"/>
      <c r="L123" s="104">
        <f t="shared" si="27"/>
        <v>0</v>
      </c>
      <c r="M123" s="105">
        <f t="shared" si="24"/>
        <v>0</v>
      </c>
      <c r="O123" s="104">
        <f t="shared" si="28"/>
        <v>0</v>
      </c>
      <c r="P123" s="106">
        <f t="shared" si="25"/>
        <v>0</v>
      </c>
      <c r="R123" s="104">
        <f t="shared" si="29"/>
        <v>0</v>
      </c>
      <c r="S123" s="106">
        <f t="shared" si="26"/>
        <v>0</v>
      </c>
    </row>
    <row r="124" spans="1:19" outlineLevel="1">
      <c r="B124" s="61">
        <v>19</v>
      </c>
      <c r="C124" s="62" t="s">
        <v>87</v>
      </c>
      <c r="D124" s="63" t="s">
        <v>67</v>
      </c>
      <c r="E124" s="64">
        <v>5</v>
      </c>
      <c r="F124" s="59"/>
      <c r="G124" s="60"/>
      <c r="H124" s="60"/>
      <c r="I124" s="60"/>
      <c r="J124" s="103"/>
      <c r="L124" s="104">
        <f t="shared" si="27"/>
        <v>0</v>
      </c>
      <c r="M124" s="105">
        <f t="shared" si="24"/>
        <v>0</v>
      </c>
      <c r="O124" s="104">
        <f t="shared" si="28"/>
        <v>0</v>
      </c>
      <c r="P124" s="106">
        <f t="shared" si="25"/>
        <v>0</v>
      </c>
      <c r="R124" s="104">
        <f t="shared" si="29"/>
        <v>0</v>
      </c>
      <c r="S124" s="106">
        <f t="shared" si="26"/>
        <v>0</v>
      </c>
    </row>
    <row r="125" spans="1:19" ht="24" customHeight="1" outlineLevel="1">
      <c r="B125" s="66">
        <v>20</v>
      </c>
      <c r="C125" s="67" t="s">
        <v>93</v>
      </c>
      <c r="D125" s="68" t="s">
        <v>94</v>
      </c>
      <c r="E125" s="69">
        <v>25</v>
      </c>
      <c r="F125" s="70"/>
      <c r="G125" s="71"/>
      <c r="H125" s="71"/>
      <c r="I125" s="71"/>
      <c r="J125" s="108"/>
      <c r="L125" s="110">
        <f t="shared" si="27"/>
        <v>0</v>
      </c>
      <c r="M125" s="111">
        <f t="shared" si="24"/>
        <v>0</v>
      </c>
      <c r="N125" s="112"/>
      <c r="O125" s="110">
        <f t="shared" si="28"/>
        <v>0</v>
      </c>
      <c r="P125" s="113">
        <f t="shared" si="25"/>
        <v>0</v>
      </c>
      <c r="Q125" s="112"/>
      <c r="R125" s="110">
        <f t="shared" si="29"/>
        <v>0</v>
      </c>
      <c r="S125" s="113">
        <f t="shared" si="26"/>
        <v>0</v>
      </c>
    </row>
    <row r="126" spans="1:19" ht="30" outlineLevel="1">
      <c r="A126" s="65"/>
      <c r="B126" s="61">
        <v>21</v>
      </c>
      <c r="C126" s="62" t="s">
        <v>95</v>
      </c>
      <c r="D126" s="63" t="s">
        <v>96</v>
      </c>
      <c r="E126" s="64">
        <v>40</v>
      </c>
      <c r="F126" s="72"/>
      <c r="G126" s="60"/>
      <c r="H126" s="60"/>
      <c r="I126" s="60"/>
      <c r="J126" s="103"/>
      <c r="L126" s="104">
        <f t="shared" si="27"/>
        <v>0</v>
      </c>
      <c r="M126" s="105">
        <f t="shared" si="24"/>
        <v>0</v>
      </c>
      <c r="O126" s="104">
        <f t="shared" si="28"/>
        <v>0</v>
      </c>
      <c r="P126" s="106">
        <f t="shared" si="25"/>
        <v>0</v>
      </c>
      <c r="R126" s="104">
        <f t="shared" si="29"/>
        <v>0</v>
      </c>
      <c r="S126" s="106">
        <f t="shared" si="26"/>
        <v>0</v>
      </c>
    </row>
    <row r="127" spans="1:19" ht="60" outlineLevel="1">
      <c r="B127" s="61">
        <v>22</v>
      </c>
      <c r="C127" s="62" t="s">
        <v>97</v>
      </c>
      <c r="D127" s="63" t="s">
        <v>98</v>
      </c>
      <c r="E127" s="64">
        <v>15</v>
      </c>
      <c r="F127" s="59"/>
      <c r="G127" s="60"/>
      <c r="H127" s="60"/>
      <c r="I127" s="60"/>
      <c r="J127" s="103"/>
      <c r="L127" s="104">
        <f t="shared" si="27"/>
        <v>0</v>
      </c>
      <c r="M127" s="105">
        <f t="shared" si="24"/>
        <v>0</v>
      </c>
      <c r="O127" s="104">
        <f t="shared" si="28"/>
        <v>0</v>
      </c>
      <c r="P127" s="106">
        <f t="shared" si="25"/>
        <v>0</v>
      </c>
      <c r="R127" s="104">
        <f t="shared" si="29"/>
        <v>0</v>
      </c>
      <c r="S127" s="106">
        <f t="shared" si="26"/>
        <v>0</v>
      </c>
    </row>
    <row r="128" spans="1:19" ht="30" outlineLevel="1">
      <c r="B128" s="66">
        <v>23</v>
      </c>
      <c r="C128" s="67" t="s">
        <v>99</v>
      </c>
      <c r="D128" s="68" t="s">
        <v>100</v>
      </c>
      <c r="E128" s="69">
        <v>789</v>
      </c>
      <c r="F128" s="70"/>
      <c r="G128" s="71"/>
      <c r="H128" s="71"/>
      <c r="I128" s="71"/>
      <c r="J128" s="108"/>
      <c r="L128" s="110">
        <f t="shared" si="27"/>
        <v>0</v>
      </c>
      <c r="M128" s="111">
        <f t="shared" si="24"/>
        <v>0</v>
      </c>
      <c r="N128" s="112"/>
      <c r="O128" s="110">
        <f t="shared" si="28"/>
        <v>0</v>
      </c>
      <c r="P128" s="113">
        <f t="shared" si="25"/>
        <v>0</v>
      </c>
      <c r="Q128" s="112"/>
      <c r="R128" s="110">
        <f t="shared" si="29"/>
        <v>0</v>
      </c>
      <c r="S128" s="113">
        <f t="shared" si="26"/>
        <v>0</v>
      </c>
    </row>
    <row r="129" spans="1:9" ht="16.5">
      <c r="F129" s="209" t="s">
        <v>106</v>
      </c>
      <c r="G129" s="209"/>
      <c r="H129" s="209"/>
      <c r="I129" s="140"/>
    </row>
    <row r="130" spans="1:9">
      <c r="F130" s="126" t="s">
        <v>107</v>
      </c>
      <c r="G130" s="127"/>
      <c r="H130" s="127"/>
      <c r="I130" s="127"/>
    </row>
    <row r="131" spans="1:9" s="39" customFormat="1">
      <c r="A131" s="40"/>
      <c r="B131" s="40"/>
      <c r="C131" s="41"/>
      <c r="D131" s="42"/>
      <c r="E131" s="40"/>
      <c r="F131" s="126" t="s">
        <v>108</v>
      </c>
      <c r="G131" s="127"/>
      <c r="H131" s="127"/>
      <c r="I131" s="127"/>
    </row>
    <row r="132" spans="1:9" s="39" customFormat="1">
      <c r="A132" s="40"/>
      <c r="B132" s="40"/>
      <c r="C132" s="41"/>
      <c r="D132" s="42"/>
      <c r="E132" s="40"/>
      <c r="F132" s="126" t="s">
        <v>109</v>
      </c>
      <c r="G132" s="36"/>
      <c r="H132" s="36"/>
      <c r="I132" s="36"/>
    </row>
    <row r="133" spans="1:9" s="39" customFormat="1">
      <c r="A133" s="40"/>
      <c r="B133" s="40"/>
      <c r="C133" s="41"/>
      <c r="D133" s="42"/>
      <c r="E133" s="40"/>
      <c r="F133" s="126"/>
      <c r="G133" s="36"/>
      <c r="H133" s="36"/>
      <c r="I133" s="36"/>
    </row>
    <row r="134" spans="1:9">
      <c r="F134" s="128" t="s">
        <v>110</v>
      </c>
      <c r="G134" s="129"/>
      <c r="H134" s="129"/>
      <c r="I134" s="129"/>
    </row>
    <row r="135" spans="1:9">
      <c r="F135" s="126" t="s">
        <v>111</v>
      </c>
      <c r="G135" s="130"/>
      <c r="H135" s="130"/>
      <c r="I135" s="130"/>
    </row>
    <row r="136" spans="1:9">
      <c r="F136" s="126" t="s">
        <v>112</v>
      </c>
      <c r="G136" s="129"/>
      <c r="H136" s="129"/>
      <c r="I136" s="129"/>
    </row>
    <row r="137" spans="1:9" s="39" customFormat="1">
      <c r="A137" s="40"/>
      <c r="B137" s="40"/>
      <c r="C137" s="41"/>
      <c r="D137" s="42"/>
      <c r="E137" s="40"/>
      <c r="F137" s="131" t="s">
        <v>12</v>
      </c>
      <c r="G137" s="132"/>
      <c r="H137" s="132"/>
      <c r="I137" s="132"/>
    </row>
    <row r="139" spans="1:9" ht="14.45" customHeight="1">
      <c r="F139" s="210" t="s">
        <v>113</v>
      </c>
      <c r="G139" s="210"/>
      <c r="H139" s="210"/>
      <c r="I139" s="133"/>
    </row>
    <row r="141" spans="1:9" s="39" customFormat="1">
      <c r="A141" s="40"/>
      <c r="B141" s="40"/>
      <c r="C141" s="41"/>
      <c r="D141" s="42"/>
      <c r="E141" s="40"/>
      <c r="F141" s="134" t="s">
        <v>114</v>
      </c>
      <c r="G141" s="135"/>
      <c r="H141" s="135"/>
      <c r="I141" s="135"/>
    </row>
    <row r="142" spans="1:9" s="39" customFormat="1">
      <c r="A142" s="40"/>
      <c r="B142" s="40"/>
      <c r="C142" s="41"/>
      <c r="D142" s="42"/>
      <c r="E142" s="40"/>
      <c r="F142" s="136" t="s">
        <v>115</v>
      </c>
      <c r="G142" s="204"/>
      <c r="H142" s="205"/>
      <c r="I142" s="205"/>
    </row>
    <row r="143" spans="1:9" s="39" customFormat="1">
      <c r="A143" s="40"/>
      <c r="B143" s="40"/>
      <c r="C143" s="41"/>
      <c r="D143" s="42"/>
      <c r="E143" s="137">
        <f>IF(H5&lt;4000,0.05,IF(H5&lt;5000,0.04,0.03))</f>
        <v>0.05</v>
      </c>
      <c r="F143" s="136" t="s">
        <v>116</v>
      </c>
      <c r="G143" s="138"/>
      <c r="H143" s="138"/>
      <c r="I143" s="138"/>
    </row>
    <row r="144" spans="1:9" s="39" customFormat="1">
      <c r="A144" s="40"/>
      <c r="B144" s="40"/>
      <c r="C144" s="41"/>
      <c r="D144" s="42"/>
      <c r="E144" s="40"/>
      <c r="F144" s="136" t="s">
        <v>117</v>
      </c>
      <c r="G144" s="135"/>
      <c r="H144" s="135"/>
      <c r="I144" s="135"/>
    </row>
    <row r="145" spans="1:9" s="39" customFormat="1" ht="14.25" customHeight="1">
      <c r="A145" s="40"/>
      <c r="B145" s="40"/>
      <c r="C145" s="41"/>
      <c r="D145" s="42"/>
      <c r="E145" s="40"/>
      <c r="F145" s="136" t="s">
        <v>115</v>
      </c>
      <c r="G145" s="204"/>
      <c r="H145" s="205"/>
      <c r="I145" s="205"/>
    </row>
    <row r="146" spans="1:9" s="39" customFormat="1">
      <c r="A146" s="40"/>
      <c r="B146" s="40"/>
      <c r="C146" s="41"/>
      <c r="D146" s="42"/>
      <c r="E146" s="40"/>
      <c r="F146" s="139" t="s">
        <v>116</v>
      </c>
      <c r="G146" s="135"/>
      <c r="H146" s="135"/>
      <c r="I146" s="135"/>
    </row>
    <row r="147" spans="1:9">
      <c r="F147" s="136" t="s">
        <v>118</v>
      </c>
      <c r="G147" s="135"/>
      <c r="H147" s="135"/>
      <c r="I147" s="135"/>
    </row>
    <row r="148" spans="1:9" s="39" customFormat="1" ht="15" customHeight="1">
      <c r="A148" s="40"/>
      <c r="B148" s="40"/>
      <c r="C148" s="41"/>
      <c r="D148" s="42"/>
      <c r="E148" s="40"/>
      <c r="F148" s="136" t="s">
        <v>115</v>
      </c>
      <c r="G148" s="204"/>
      <c r="H148" s="205"/>
      <c r="I148" s="205"/>
    </row>
    <row r="149" spans="1:9">
      <c r="F149" s="139" t="s">
        <v>116</v>
      </c>
      <c r="G149" s="135"/>
      <c r="H149" s="135"/>
      <c r="I149" s="135"/>
    </row>
    <row r="152" spans="1:9" ht="47.1" customHeight="1">
      <c r="F152" s="206" t="s">
        <v>119</v>
      </c>
      <c r="G152" s="206"/>
      <c r="H152" s="206"/>
      <c r="I152" s="206"/>
    </row>
  </sheetData>
  <mergeCells count="17">
    <mergeCell ref="B2:F2"/>
    <mergeCell ref="K2:M2"/>
    <mergeCell ref="N2:P2"/>
    <mergeCell ref="Q2:S2"/>
    <mergeCell ref="B3:F3"/>
    <mergeCell ref="B4:F4"/>
    <mergeCell ref="B5:F5"/>
    <mergeCell ref="B6:F6"/>
    <mergeCell ref="L8:M8"/>
    <mergeCell ref="O8:P8"/>
    <mergeCell ref="G148:I148"/>
    <mergeCell ref="F152:I152"/>
    <mergeCell ref="R8:S8"/>
    <mergeCell ref="F129:H129"/>
    <mergeCell ref="F139:H139"/>
    <mergeCell ref="G142:I142"/>
    <mergeCell ref="G145:I145"/>
  </mergeCells>
  <phoneticPr fontId="40" type="noConversion"/>
  <conditionalFormatting sqref="G143:I143">
    <cfRule type="cellIs" dxfId="0" priority="1" operator="equal">
      <formula>"Fail"</formula>
    </cfRule>
  </conditionalFormatting>
  <pageMargins left="0.7" right="0.7" top="0.75" bottom="0.75" header="0.3" footer="0.3"/>
  <pageSetup orientation="portrait"/>
  <headerFooter>
    <oddFooter>&amp;L_x000D_&amp;1#&amp;"Calibri"&amp;8&amp;K000000 Internal</oddFooter>
  </headerFooter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workbookViewId="0">
      <selection activeCell="D18" sqref="D18"/>
    </sheetView>
  </sheetViews>
  <sheetFormatPr defaultColWidth="9.125" defaultRowHeight="14.25"/>
  <cols>
    <col min="1" max="1" width="3.625" style="3" customWidth="1"/>
    <col min="2" max="2" width="9.125" style="3"/>
    <col min="3" max="3" width="15" style="3" customWidth="1"/>
    <col min="4" max="4" width="20.375" style="3" customWidth="1"/>
    <col min="5" max="5" width="9.125" style="3"/>
    <col min="6" max="6" width="20.375" style="3" customWidth="1"/>
    <col min="7" max="7" width="51.375" style="3" customWidth="1"/>
    <col min="8" max="16384" width="9.125" style="3"/>
  </cols>
  <sheetData>
    <row r="1" spans="1:8" s="1" customFormat="1" ht="21">
      <c r="B1" s="4" t="s">
        <v>120</v>
      </c>
      <c r="C1" s="5"/>
      <c r="D1" s="5"/>
      <c r="E1" s="5"/>
      <c r="F1" s="5"/>
      <c r="G1" s="5"/>
    </row>
    <row r="2" spans="1:8" s="1" customFormat="1" ht="15.75">
      <c r="B2" s="6"/>
      <c r="C2" s="7"/>
      <c r="D2" s="7"/>
      <c r="E2" s="7"/>
      <c r="F2" s="7"/>
      <c r="G2" s="7"/>
    </row>
    <row r="3" spans="1:8" s="2" customFormat="1" ht="15.75">
      <c r="A3" s="8"/>
      <c r="B3" s="9" t="s">
        <v>121</v>
      </c>
      <c r="C3" s="10" t="s">
        <v>4</v>
      </c>
      <c r="D3" s="10" t="s">
        <v>122</v>
      </c>
      <c r="E3" s="10" t="s">
        <v>123</v>
      </c>
      <c r="F3" s="10" t="s">
        <v>124</v>
      </c>
      <c r="G3" s="11" t="s">
        <v>125</v>
      </c>
      <c r="H3" s="12"/>
    </row>
    <row r="4" spans="1:8" s="2" customFormat="1" ht="12.75">
      <c r="A4" s="8"/>
      <c r="B4" s="13" t="s">
        <v>126</v>
      </c>
      <c r="C4" s="14">
        <v>43046</v>
      </c>
      <c r="D4" s="15" t="s">
        <v>127</v>
      </c>
      <c r="E4" s="16" t="s">
        <v>128</v>
      </c>
      <c r="F4" s="17"/>
      <c r="G4" s="18" t="s">
        <v>129</v>
      </c>
      <c r="H4" s="12"/>
    </row>
    <row r="5" spans="1:8" s="2" customFormat="1" ht="12.75">
      <c r="A5" s="8"/>
      <c r="B5" s="19" t="s">
        <v>130</v>
      </c>
      <c r="C5" s="20">
        <v>43075</v>
      </c>
      <c r="D5" s="21" t="s">
        <v>131</v>
      </c>
      <c r="E5" s="22" t="s">
        <v>132</v>
      </c>
      <c r="F5" s="23"/>
      <c r="G5" s="24" t="s">
        <v>133</v>
      </c>
      <c r="H5" s="12"/>
    </row>
    <row r="6" spans="1:8" s="2" customFormat="1" ht="12.75">
      <c r="A6" s="8"/>
      <c r="B6" s="19" t="s">
        <v>134</v>
      </c>
      <c r="C6" s="20">
        <v>43131</v>
      </c>
      <c r="D6" s="21" t="s">
        <v>135</v>
      </c>
      <c r="E6" s="22" t="s">
        <v>132</v>
      </c>
      <c r="F6" s="23"/>
      <c r="G6" s="24" t="s">
        <v>136</v>
      </c>
      <c r="H6" s="12"/>
    </row>
    <row r="7" spans="1:8" s="2" customFormat="1" ht="12.75">
      <c r="A7" s="8"/>
      <c r="B7" s="19" t="s">
        <v>137</v>
      </c>
      <c r="C7" s="20">
        <v>43210</v>
      </c>
      <c r="D7" s="21" t="s">
        <v>131</v>
      </c>
      <c r="E7" s="22" t="s">
        <v>132</v>
      </c>
      <c r="F7" s="23"/>
      <c r="G7" s="25" t="s">
        <v>138</v>
      </c>
      <c r="H7" s="12"/>
    </row>
    <row r="8" spans="1:8">
      <c r="A8" s="26"/>
      <c r="B8" s="19" t="s">
        <v>139</v>
      </c>
      <c r="C8" s="20">
        <v>44266</v>
      </c>
      <c r="D8" s="21" t="s">
        <v>140</v>
      </c>
      <c r="E8" s="22" t="s">
        <v>132</v>
      </c>
      <c r="F8" s="23"/>
      <c r="G8" s="27" t="s">
        <v>141</v>
      </c>
      <c r="H8" s="28"/>
    </row>
    <row r="9" spans="1:8">
      <c r="A9" s="26"/>
      <c r="B9" s="19" t="s">
        <v>142</v>
      </c>
      <c r="C9" s="20">
        <v>44305</v>
      </c>
      <c r="D9" s="21" t="s">
        <v>140</v>
      </c>
      <c r="E9" s="22" t="s">
        <v>132</v>
      </c>
      <c r="F9" s="23"/>
      <c r="G9" s="27" t="s">
        <v>143</v>
      </c>
      <c r="H9" s="28"/>
    </row>
    <row r="10" spans="1:8">
      <c r="A10" s="26"/>
      <c r="B10" s="19"/>
      <c r="C10" s="20"/>
      <c r="D10" s="21"/>
      <c r="E10" s="22"/>
      <c r="F10" s="23"/>
      <c r="G10" s="18"/>
      <c r="H10" s="28"/>
    </row>
    <row r="11" spans="1:8">
      <c r="A11" s="26"/>
      <c r="B11" s="29"/>
      <c r="C11" s="30"/>
      <c r="D11" s="30"/>
      <c r="E11" s="30"/>
      <c r="F11" s="30"/>
      <c r="G11" s="31"/>
      <c r="H11" s="28"/>
    </row>
    <row r="12" spans="1:8">
      <c r="A12" s="26"/>
      <c r="B12" s="29"/>
      <c r="C12" s="30"/>
      <c r="D12" s="30"/>
      <c r="E12" s="30"/>
      <c r="F12" s="30"/>
      <c r="G12" s="31"/>
      <c r="H12" s="28"/>
    </row>
    <row r="13" spans="1:8">
      <c r="A13" s="26"/>
      <c r="B13" s="29"/>
      <c r="C13" s="30"/>
      <c r="D13" s="30"/>
      <c r="E13" s="30"/>
      <c r="F13" s="30"/>
      <c r="G13" s="31"/>
      <c r="H13" s="28"/>
    </row>
    <row r="14" spans="1:8">
      <c r="A14" s="26"/>
      <c r="B14" s="29"/>
      <c r="C14" s="30"/>
      <c r="D14" s="30"/>
      <c r="E14" s="30"/>
      <c r="F14" s="30"/>
      <c r="G14" s="31"/>
      <c r="H14" s="28"/>
    </row>
    <row r="15" spans="1:8">
      <c r="A15" s="26"/>
      <c r="B15" s="29"/>
      <c r="C15" s="30"/>
      <c r="D15" s="30"/>
      <c r="E15" s="30"/>
      <c r="F15" s="30"/>
      <c r="G15" s="31"/>
      <c r="H15" s="28"/>
    </row>
    <row r="16" spans="1:8">
      <c r="A16" s="26"/>
      <c r="B16" s="29"/>
      <c r="C16" s="30"/>
      <c r="D16" s="30"/>
      <c r="E16" s="30"/>
      <c r="F16" s="30"/>
      <c r="G16" s="31"/>
      <c r="H16" s="28"/>
    </row>
    <row r="17" spans="1:8">
      <c r="A17" s="26"/>
      <c r="B17" s="29"/>
      <c r="C17" s="30"/>
      <c r="D17" s="30"/>
      <c r="E17" s="30"/>
      <c r="F17" s="30"/>
      <c r="G17" s="31"/>
      <c r="H17" s="28"/>
    </row>
    <row r="18" spans="1:8">
      <c r="A18" s="26"/>
      <c r="B18" s="29"/>
      <c r="C18" s="30"/>
      <c r="D18" s="30"/>
      <c r="E18" s="30"/>
      <c r="F18" s="30"/>
      <c r="G18" s="31"/>
      <c r="H18" s="28"/>
    </row>
    <row r="19" spans="1:8">
      <c r="A19" s="26"/>
      <c r="B19" s="29"/>
      <c r="C19" s="30"/>
      <c r="D19" s="30"/>
      <c r="E19" s="30"/>
      <c r="F19" s="30"/>
      <c r="G19" s="31"/>
      <c r="H19" s="28"/>
    </row>
    <row r="20" spans="1:8">
      <c r="A20" s="26"/>
      <c r="B20" s="29"/>
      <c r="C20" s="30"/>
      <c r="D20" s="30"/>
      <c r="E20" s="30"/>
      <c r="F20" s="30"/>
      <c r="G20" s="31"/>
      <c r="H20" s="28"/>
    </row>
    <row r="21" spans="1:8">
      <c r="A21" s="26"/>
      <c r="B21" s="29"/>
      <c r="C21" s="30"/>
      <c r="D21" s="30"/>
      <c r="E21" s="30"/>
      <c r="F21" s="30"/>
      <c r="G21" s="31"/>
      <c r="H21" s="28"/>
    </row>
    <row r="22" spans="1:8">
      <c r="A22" s="26"/>
      <c r="B22" s="29"/>
      <c r="C22" s="30"/>
      <c r="D22" s="30"/>
      <c r="E22" s="30"/>
      <c r="F22" s="30"/>
      <c r="G22" s="31"/>
      <c r="H22" s="28"/>
    </row>
    <row r="23" spans="1:8">
      <c r="A23" s="26"/>
      <c r="B23" s="29"/>
      <c r="C23" s="30"/>
      <c r="D23" s="30"/>
      <c r="E23" s="30"/>
      <c r="F23" s="30"/>
      <c r="G23" s="31"/>
      <c r="H23" s="28"/>
    </row>
    <row r="24" spans="1:8">
      <c r="A24" s="26"/>
      <c r="B24" s="29"/>
      <c r="C24" s="30"/>
      <c r="D24" s="30"/>
      <c r="E24" s="30"/>
      <c r="F24" s="30"/>
      <c r="G24" s="31"/>
      <c r="H24" s="28"/>
    </row>
    <row r="25" spans="1:8">
      <c r="A25" s="26"/>
      <c r="B25" s="29"/>
      <c r="C25" s="30"/>
      <c r="D25" s="30"/>
      <c r="E25" s="30"/>
      <c r="F25" s="30"/>
      <c r="G25" s="31"/>
      <c r="H25" s="28"/>
    </row>
    <row r="26" spans="1:8">
      <c r="A26" s="26"/>
      <c r="B26" s="32"/>
      <c r="C26" s="33"/>
      <c r="D26" s="33"/>
      <c r="E26" s="33"/>
      <c r="F26" s="33"/>
      <c r="G26" s="34"/>
      <c r="H26" s="28"/>
    </row>
    <row r="27" spans="1:8">
      <c r="B27" s="35"/>
      <c r="C27" s="35"/>
      <c r="D27" s="35"/>
      <c r="E27" s="35"/>
      <c r="F27" s="35"/>
      <c r="G27" s="35"/>
    </row>
  </sheetData>
  <phoneticPr fontId="40" type="noConversion"/>
  <dataValidations count="1">
    <dataValidation type="list" allowBlank="1" showInputMessage="1" showErrorMessage="1" sqref="E4:E5" xr:uid="{00000000-0002-0000-0300-000000000000}">
      <formula1>"Add,Update,Delete,Review"</formula1>
    </dataValidation>
  </dataValidations>
  <pageMargins left="0.7" right="0.7" top="0.75" bottom="0.75" header="0.3" footer="0.3"/>
  <pageSetup paperSize="9" orientation="portrait"/>
  <headerFooter>
    <oddFooter>&amp;L_x000D_&amp;1#&amp;"Calibri"&amp;8&amp;K000000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35655d-a3d6-4e35-bbab-b531433c9dec">
      <Terms xmlns="http://schemas.microsoft.com/office/infopath/2007/PartnerControls"/>
    </lcf76f155ced4ddcb4097134ff3c332f>
    <TaxCatchAll xmlns="9dcada65-1f36-4a56-8b46-bf4b1673ec8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29259D241AD442A2B370B97E35A080" ma:contentTypeVersion="18" ma:contentTypeDescription="Create a new document." ma:contentTypeScope="" ma:versionID="5ec79de737e6c7a300ea9fb944307802">
  <xsd:schema xmlns:xsd="http://www.w3.org/2001/XMLSchema" xmlns:xs="http://www.w3.org/2001/XMLSchema" xmlns:p="http://schemas.microsoft.com/office/2006/metadata/properties" xmlns:ns2="0835655d-a3d6-4e35-bbab-b531433c9dec" xmlns:ns3="c441383d-3f7c-48e9-9dd8-a88d07f7c85c" xmlns:ns4="9dcada65-1f36-4a56-8b46-bf4b1673ec83" targetNamespace="http://schemas.microsoft.com/office/2006/metadata/properties" ma:root="true" ma:fieldsID="8ea6ef0b913a5565698670adef2fbee1" ns2:_="" ns3:_="" ns4:_="">
    <xsd:import namespace="0835655d-a3d6-4e35-bbab-b531433c9dec"/>
    <xsd:import namespace="c441383d-3f7c-48e9-9dd8-a88d07f7c85c"/>
    <xsd:import namespace="9dcada65-1f36-4a56-8b46-bf4b1673ec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35655d-a3d6-4e35-bbab-b531433c9d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a655811-87c3-4ec9-8dfb-bbbae8abcf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1383d-3f7c-48e9-9dd8-a88d07f7c85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cada65-1f36-4a56-8b46-bf4b1673ec83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9e1189fe-c124-4362-8195-4e047c397e94}" ma:internalName="TaxCatchAll" ma:showField="CatchAllData" ma:web="c441383d-3f7c-48e9-9dd8-a88d07f7c8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6E1820-A610-4CB7-86EC-72935546AC47}">
  <ds:schemaRefs>
    <ds:schemaRef ds:uri="http://schemas.microsoft.com/office/2006/metadata/properties"/>
    <ds:schemaRef ds:uri="http://schemas.microsoft.com/office/infopath/2007/PartnerControls"/>
    <ds:schemaRef ds:uri="0835655d-a3d6-4e35-bbab-b531433c9dec"/>
    <ds:schemaRef ds:uri="9dcada65-1f36-4a56-8b46-bf4b1673ec83"/>
  </ds:schemaRefs>
</ds:datastoreItem>
</file>

<file path=customXml/itemProps2.xml><?xml version="1.0" encoding="utf-8"?>
<ds:datastoreItem xmlns:ds="http://schemas.openxmlformats.org/officeDocument/2006/customXml" ds:itemID="{61C3B447-5676-4EF0-BC1C-061867C72B35}"/>
</file>

<file path=customXml/itemProps3.xml><?xml version="1.0" encoding="utf-8"?>
<ds:datastoreItem xmlns:ds="http://schemas.openxmlformats.org/officeDocument/2006/customXml" ds:itemID="{41CD7D9B-968C-4AF2-A8FD-A74941B6CB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Summary</vt:lpstr>
      <vt:lpstr>Precondition</vt:lpstr>
      <vt:lpstr>Scenario(Phone)</vt:lpstr>
      <vt:lpstr>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Juha Werkkala</dc:creator>
  <cp:keywords/>
  <dc:description/>
  <cp:lastModifiedBy>Wendy Wei</cp:lastModifiedBy>
  <cp:revision/>
  <dcterms:created xsi:type="dcterms:W3CDTF">2017-08-16T06:57:00Z</dcterms:created>
  <dcterms:modified xsi:type="dcterms:W3CDTF">2023-05-19T10:05:12Z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0x010100EB29259D241AD442A2B370B97E35A080</vt:lpwstr>
  </property>
  <property fmtid="{D5CDD505-2E9C-101B-9397-08002B2CF9AE}" pid="3" name="_dlc_DocIdItemGuid">
    <vt:lpwstr>ec2e201a-97a3-4e3d-a11a-ba277cc5f9e9</vt:lpwstr>
  </property>
  <property fmtid="{D5CDD505-2E9C-101B-9397-08002B2CF9AE}" pid="4" name="Order">
    <vt:r8>11600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ICV">
    <vt:lpwstr>18A5D4722828484BB942A4A88DA0F68C</vt:lpwstr>
  </property>
  <property fmtid="{D5CDD505-2E9C-101B-9397-08002B2CF9AE}" pid="12" name="KSOProductBuildVer">
    <vt:lpwstr>2052-11.1.0.12980</vt:lpwstr>
  </property>
  <property fmtid="{D5CDD505-2E9C-101B-9397-08002B2CF9AE}" pid="13" name="MSIP_Label_350103b8-74d2-4d04-8851-dd34f0867dfd_Enabled">
    <vt:lpwstr>true</vt:lpwstr>
  </property>
  <property fmtid="{D5CDD505-2E9C-101B-9397-08002B2CF9AE}" pid="14" name="MSIP_Label_350103b8-74d2-4d04-8851-dd34f0867dfd_SetDate">
    <vt:lpwstr>2023-03-20T02:01:08Z</vt:lpwstr>
  </property>
  <property fmtid="{D5CDD505-2E9C-101B-9397-08002B2CF9AE}" pid="15" name="MSIP_Label_350103b8-74d2-4d04-8851-dd34f0867dfd_Method">
    <vt:lpwstr>Standard</vt:lpwstr>
  </property>
  <property fmtid="{D5CDD505-2E9C-101B-9397-08002B2CF9AE}" pid="16" name="MSIP_Label_350103b8-74d2-4d04-8851-dd34f0867dfd_Name">
    <vt:lpwstr>350103b8-74d2-4d04-8851-dd34f0867dfd</vt:lpwstr>
  </property>
  <property fmtid="{D5CDD505-2E9C-101B-9397-08002B2CF9AE}" pid="17" name="MSIP_Label_350103b8-74d2-4d04-8851-dd34f0867dfd_SiteId">
    <vt:lpwstr>0728bef5-aa68-404b-9bef-cc4d6d33622d</vt:lpwstr>
  </property>
  <property fmtid="{D5CDD505-2E9C-101B-9397-08002B2CF9AE}" pid="18" name="MSIP_Label_350103b8-74d2-4d04-8851-dd34f0867dfd_ActionId">
    <vt:lpwstr>75da7853-8029-4095-a211-560069136577</vt:lpwstr>
  </property>
  <property fmtid="{D5CDD505-2E9C-101B-9397-08002B2CF9AE}" pid="19" name="MSIP_Label_350103b8-74d2-4d04-8851-dd34f0867dfd_ContentBits">
    <vt:lpwstr>2</vt:lpwstr>
  </property>
  <property fmtid="{D5CDD505-2E9C-101B-9397-08002B2CF9AE}" pid="20" name="MediaServiceImageTags">
    <vt:lpwstr/>
  </property>
</Properties>
</file>